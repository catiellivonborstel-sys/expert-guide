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NEGÓCIO" sheetId="1" r:id="rId4"/>
    <sheet state="visible" name=" IMÓVEL" sheetId="2" r:id="rId5"/>
    <sheet state="visible" name=" VENDEDOR" sheetId="3" r:id="rId6"/>
    <sheet state="visible" name="COMPRADOR" sheetId="4" r:id="rId7"/>
    <sheet state="visible" name=" JURÍDICO" sheetId="5" r:id="rId8"/>
    <sheet state="visible" name=" CARTÓRIO" sheetId="6" r:id="rId9"/>
    <sheet state="visible" name="FINANCEIRO" sheetId="7" r:id="rId10"/>
    <sheet state="visible" name=" CONTRATO" sheetId="8" r:id="rId11"/>
    <sheet state="visible" name="ESCRITURA" sheetId="9" r:id="rId12"/>
    <sheet state="visible" name="TIMELINE" sheetId="10" r:id="rId13"/>
    <sheet state="visible" name="VISITAS" sheetId="11" r:id="rId14"/>
    <sheet state="visible" name=" RISCOS" sheetId="12" r:id="rId15"/>
  </sheets>
  <definedNames/>
  <calcPr/>
  <extLst>
    <ext uri="GoogleSheetsCustomDataVersion2">
      <go:sheetsCustomData xmlns:go="http://customooxmlschemas.google.com/" r:id="rId16" roundtripDataChecksum="znQcB/AwwiHwH5HT+Zap58WxL6QTYVVckDmfc3tUScQ="/>
    </ext>
  </extLst>
</workbook>
</file>

<file path=xl/sharedStrings.xml><?xml version="1.0" encoding="utf-8"?>
<sst xmlns="http://schemas.openxmlformats.org/spreadsheetml/2006/main" count="1191" uniqueCount="686">
  <si>
    <t xml:space="preserve">  DUE DILIGENCE — CORRETAGEM DE IMÓVEIS</t>
  </si>
  <si>
    <t>Script completo de anotação e controle — Lei 6.530/1978 | CC Art.723 | Lei 14.382/2022 | Lei 14.825/2024</t>
  </si>
  <si>
    <t>▶  DADOS DO NEGÓCIO</t>
  </si>
  <si>
    <t>Nº do Processo / Código</t>
  </si>
  <si>
    <t>Endereço do Imóvel</t>
  </si>
  <si>
    <t>Tipo de Imóvel</t>
  </si>
  <si>
    <t>Finalidade</t>
  </si>
  <si>
    <t>Compra e Venda</t>
  </si>
  <si>
    <t>Valor de Venda (R$)</t>
  </si>
  <si>
    <t>Comissão Prevista (%)</t>
  </si>
  <si>
    <t>6%</t>
  </si>
  <si>
    <t>Comissão Valor (R$)</t>
  </si>
  <si>
    <t>Data de Início Due Diligence</t>
  </si>
  <si>
    <t>2026-03-08</t>
  </si>
  <si>
    <t>Prazo Estimado de Conclusão</t>
  </si>
  <si>
    <t>Corretor Responsável</t>
  </si>
  <si>
    <t>CRECI Nº</t>
  </si>
  <si>
    <t>Advogado Responsável</t>
  </si>
  <si>
    <t>OAB Nº</t>
  </si>
  <si>
    <t>Imobiliária / Empresa</t>
  </si>
  <si>
    <t>CRECI PJ Nº</t>
  </si>
  <si>
    <t>▶  LEGISLAÇÃO DE REFERÊNCIA</t>
  </si>
  <si>
    <t>Lei nº 6.530/1978</t>
  </si>
  <si>
    <t>Regulamenta a profissão de Corretor de Imóveis e o CRECI/COFECI</t>
  </si>
  <si>
    <t>Decreto nº 81.871/1978</t>
  </si>
  <si>
    <t>Regulamenta a Lei 6.530/78 — deveres e condutas do corretor</t>
  </si>
  <si>
    <t>Decreto nº 11.165/2022</t>
  </si>
  <si>
    <t>Atualiza conceito de intermediação imobiliária</t>
  </si>
  <si>
    <t>CC Art. 722 a 729</t>
  </si>
  <si>
    <t>Código Civil — contrato de corretagem, comissão e responsabilidades</t>
  </si>
  <si>
    <t>Lei nº 6.015/1973</t>
  </si>
  <si>
    <t>Lei de Registros Públicos — matrícula, escritura e registro</t>
  </si>
  <si>
    <t>Lei nº 14.382/2022</t>
  </si>
  <si>
    <t>SERP — Sistema Eletrônico de Registros Públicos / digitalização</t>
  </si>
  <si>
    <t>Lei nº 14.825/2024</t>
  </si>
  <si>
    <t>Princípio da concentração dos atos na matrícula</t>
  </si>
  <si>
    <t>Lei nº 9.613/1998</t>
  </si>
  <si>
    <t>Prevenção à Lavagem de Dinheiro — obrigação do corretor</t>
  </si>
  <si>
    <t>Res. COFECI nº 1.336/2014</t>
  </si>
  <si>
    <t>Código de Ética dos Corretores de Imóveis</t>
  </si>
  <si>
    <t>Lei nº 8.245/1991</t>
  </si>
  <si>
    <t>Lei do Inquilinato — locação e intermediação</t>
  </si>
  <si>
    <t>CDC (Lei 8.078/1990)</t>
  </si>
  <si>
    <t>Código de Defesa do Consumidor — relação com o cliente</t>
  </si>
  <si>
    <t>NBR 14.653 ABNT</t>
  </si>
  <si>
    <t>Avaliação de imóveis — laudo de avaliação</t>
  </si>
  <si>
    <t xml:space="preserve"> DOCUMENTAÇÃO DO IMÓVEL</t>
  </si>
  <si>
    <t>#</t>
  </si>
  <si>
    <t>ITEM / DOCUMENTO</t>
  </si>
  <si>
    <t>DESCRIÇÃO / ORIENTAÇÃO</t>
  </si>
  <si>
    <t>RESPONSÁVEL</t>
  </si>
  <si>
    <t>STATUS</t>
  </si>
  <si>
    <t>DATA</t>
  </si>
  <si>
    <t>OBSERVAÇÕES / ANOTAÇÕES</t>
  </si>
  <si>
    <t xml:space="preserve">  ▸  DOCUMENTAÇÃO REGISTRAL — CARTÓRIO DE REGISTRO DE IMÓVEIS</t>
  </si>
  <si>
    <t>Certidão de Matrícula Atualizada</t>
  </si>
  <si>
    <t>Solicitar no CRI. Deve ter no máximo 30 dias. Verifica proprietário, ônus, hipotecas, penhoras e histórico. Lei 6.015/73 + Lei 14.825/2024.</t>
  </si>
  <si>
    <t>Corretor/Advogado</t>
  </si>
  <si>
    <t>❌ Pendente</t>
  </si>
  <si>
    <t>Solicitar inteiro teor — confirmar cadeia dominial</t>
  </si>
  <si>
    <t>Certidão de Ônus Reais</t>
  </si>
  <si>
    <t>Identifica hipotecas, penhoras, usufruto, alienação fiduciária. Emitida pelo CRI.</t>
  </si>
  <si>
    <t>Verificar se há alienação fiduciária em banco</t>
  </si>
  <si>
    <t>Certidão de Ações Reais e Pessoais Reipersecutórias</t>
  </si>
  <si>
    <t>Verifica disputas judiciais que recaem sobre o bem. CRI.</t>
  </si>
  <si>
    <t>Advogado</t>
  </si>
  <si>
    <t>Título de Propriedade (cópia)</t>
  </si>
  <si>
    <t>Escritura pública, formal de partilha, sentença judicial, contrato de compromisso de compra e venda.</t>
  </si>
  <si>
    <t>Corretor</t>
  </si>
  <si>
    <t>Confirmar data e assinaturas</t>
  </si>
  <si>
    <t>Histórico da Cadeia Dominial (15 anos)</t>
  </si>
  <si>
    <t>Verificar todos os proprietários anteriores e seus documentos. Previne evicção.</t>
  </si>
  <si>
    <t>Pesquisar matrículas anteriores se necessário</t>
  </si>
  <si>
    <t>Averbação de Construção</t>
  </si>
  <si>
    <t>Verificar se a construção/reforma está averbada na matrícula. Art. 167 da Lei 6.015/73.</t>
  </si>
  <si>
    <t>Advogado/Arquiteto</t>
  </si>
  <si>
    <t xml:space="preserve">  ▸  FISCALIZAÇÃO MUNICIPAL — PREFEITURA</t>
  </si>
  <si>
    <t>IPTU — Carnê Ano Vigente</t>
  </si>
  <si>
    <t>Comprovante de pagamento do IPTU do ano corrente.</t>
  </si>
  <si>
    <t>Vendedor</t>
  </si>
  <si>
    <t>Solicitar últimos 3 anos se possível</t>
  </si>
  <si>
    <t>Certidão Negativa de Débitos Imobiliários (CND Municipal)</t>
  </si>
  <si>
    <t>Confirma inexistência de dívidas de IPTU junto à prefeitura.</t>
  </si>
  <si>
    <t>Vendedor/Corretor</t>
  </si>
  <si>
    <t>Certidão do Cadastro de Contribuintes do Imóvel</t>
  </si>
  <si>
    <t>Emitida pelo município — confirma inscrição e dados do imóvel.</t>
  </si>
  <si>
    <t>Declaração da Prefeitura (Desapropriação/Tombamento)</t>
  </si>
  <si>
    <t>Confirma que o imóvel não está em área de desapropriação, tombamento ou APP.</t>
  </si>
  <si>
    <t>Verificar Plano Diretor e zoneamento</t>
  </si>
  <si>
    <t>Alvará de Construção / Regularização</t>
  </si>
  <si>
    <t>Confirma que a obra foi aprovada. Secretaria de Obras.</t>
  </si>
  <si>
    <t>Habite-se (Auto de Conclusão)</t>
  </si>
  <si>
    <t>Documento que atesta que a obra está concluída e habitável.</t>
  </si>
  <si>
    <t>Obrigatório para imóveis novos</t>
  </si>
  <si>
    <t>Certidão de Uso e Ocupação do Solo</t>
  </si>
  <si>
    <t>Verifica zoneamento e uso permitido. Importante para imóveis comerciais.</t>
  </si>
  <si>
    <t xml:space="preserve">  ▸  FISCAL FEDERAL</t>
  </si>
  <si>
    <t>Certidão Negativa de Débitos Federais (CND/PGFN)</t>
  </si>
  <si>
    <t>Tributos federais e dívida ativa — emitida pela Receita Federal / PGFN.</t>
  </si>
  <si>
    <t>Site: receita.fazenda.gov.br</t>
  </si>
  <si>
    <t>Certidão Negativa de Débitos Trabalhistas (CNDT)</t>
  </si>
  <si>
    <t>Verifica dívidas trabalhistas do vendedor. Tribunal Superior do Trabalho.</t>
  </si>
  <si>
    <t>Site: tst.jus.br</t>
  </si>
  <si>
    <t xml:space="preserve">  ▸  CONCESSIONÁRIAS E SERVIÇOS</t>
  </si>
  <si>
    <t>Quitação de Conta de Água / Esgoto</t>
  </si>
  <si>
    <t>Certidão ou comprovante de pagamento das contas de água.</t>
  </si>
  <si>
    <t>SABESP / CAESB ou equivalente local</t>
  </si>
  <si>
    <t>Quitação de Conta de Energia Elétrica</t>
  </si>
  <si>
    <t>Comprovante de conta de luz quitada.</t>
  </si>
  <si>
    <t>Quitação de Gás (se aplicável)</t>
  </si>
  <si>
    <t>Para imóveis com gás encanado.</t>
  </si>
  <si>
    <t>Quitação de Telefone/Internet (se aplicável)</t>
  </si>
  <si>
    <t>Linhas fixas associadas ao imóvel.</t>
  </si>
  <si>
    <t xml:space="preserve">  ▸  CONDOMÍNIO (SE APLICÁVEL)</t>
  </si>
  <si>
    <t>Certidão Negativa de Débitos Condominiais</t>
  </si>
  <si>
    <t>Emitida pela administradora/síndico — confirma que não há taxas em atraso.</t>
  </si>
  <si>
    <t>Obrigatória para apartamentos e condomínios fechados</t>
  </si>
  <si>
    <t>Convenção de Condomínio e Regimento Interno</t>
  </si>
  <si>
    <t>Cópia atualizada para análise das regras do condomínio.</t>
  </si>
  <si>
    <t>Síndico/Adm.</t>
  </si>
  <si>
    <t>Atas das Últimas Assembleias (3 anos)</t>
  </si>
  <si>
    <t>Verificar obras aprovadas, taxas extras, litígios internos.</t>
  </si>
  <si>
    <t>Previsão Orçamentária do Condomínio</t>
  </si>
  <si>
    <t>Verificar saúde financeira do condomínio.</t>
  </si>
  <si>
    <t>Adm. Condomínio</t>
  </si>
  <si>
    <t xml:space="preserve">  ▸  IMÓVEL RURAL (QUANDO APLICÁVEL)</t>
  </si>
  <si>
    <t>Certificado de Cadastro de Imóvel Rural (CCIR)</t>
  </si>
  <si>
    <t>Emitido pelo INCRA — obrigatório para imóveis rurais.</t>
  </si>
  <si>
    <t>5 últimos comprovantes de ITR (Imposto Territorial Rural)</t>
  </si>
  <si>
    <t>Comprovante de pagamento do ITR — Receita Federal.</t>
  </si>
  <si>
    <t>DITR — Declaração do ITR</t>
  </si>
  <si>
    <t>Declaração do Imposto sobre Propriedade Rural.</t>
  </si>
  <si>
    <t>CAR — Cadastro Ambiental Rural</t>
  </si>
  <si>
    <t>Obrigatório para imóveis rurais. Sistema SICAR.</t>
  </si>
  <si>
    <t>Vendedor/Adv.</t>
  </si>
  <si>
    <t>Certidão de Regularidade Ambiental (IBAMA/SEMA)</t>
  </si>
  <si>
    <t>Verifica passivos ambientais.</t>
  </si>
  <si>
    <t>Levantamento Planialtimétrico / Georreferenciamento</t>
  </si>
  <si>
    <t>Medição oficial do imóvel rural. INCRA.</t>
  </si>
  <si>
    <t>Engenheiro</t>
  </si>
  <si>
    <t xml:space="preserve">  ▸  VISTORIA E AVALIAÇÃO TÉCNICA</t>
  </si>
  <si>
    <t>Laudo de Avaliação (NBR 14.653 ABNT)</t>
  </si>
  <si>
    <t>Avaliação do valor de mercado por engenheiro/perito credenciado.</t>
  </si>
  <si>
    <t>Engenheiro/Perito</t>
  </si>
  <si>
    <t>Laudo de Vistoria Estrutural</t>
  </si>
  <si>
    <t>Avaliação de estado físico, infiltrações, estrutura.</t>
  </si>
  <si>
    <t>Engenheiro Civil</t>
  </si>
  <si>
    <t>ART / RRT do Responsável Técnico</t>
  </si>
  <si>
    <t>Anotação de Responsabilidade Técnica — CREA / CAU.</t>
  </si>
  <si>
    <t>Engenheiro/Arq.</t>
  </si>
  <si>
    <t>Planta Baixa Aprovada</t>
  </si>
  <si>
    <t>Projeto arquitetônico aprovado pela prefeitura.</t>
  </si>
  <si>
    <t xml:space="preserve">  👤 DOCUMENTAÇÃO DO VENDEDOR</t>
  </si>
  <si>
    <t xml:space="preserve">  ▸  PESSOA FÍSICA — DOCUMENTOS PESSOAIS</t>
  </si>
  <si>
    <t>RG e CPF (originais e cópia)</t>
  </si>
  <si>
    <t>Documentos de identidade do vendedor e cônjuge (se casado).</t>
  </si>
  <si>
    <t>Confirmar autenticidade — verificar prazo de validade do RG</t>
  </si>
  <si>
    <t>Certidão de Estado Civil Atualizada</t>
  </si>
  <si>
    <t>Certidão de nascimento (solteiro), casamento, divórcio ou viuvez. Prazo: 90 dias.</t>
  </si>
  <si>
    <t>Se casado: regime de bens? Outorga conjugal necessária?</t>
  </si>
  <si>
    <t>Pacto Antenupcial (se houver)</t>
  </si>
  <si>
    <t>Se casado em regime de separação ou comunhão parcial com pacto registrado.</t>
  </si>
  <si>
    <t>Verificar no CRI se foi registrado</t>
  </si>
  <si>
    <t>Comprovante de Residência Atualizado</t>
  </si>
  <si>
    <t>Conta de luz, água ou correspondência oficial — até 90 dias.</t>
  </si>
  <si>
    <t>Declaração de IR (últimos 2 anos)</t>
  </si>
  <si>
    <t>Confirma que o imóvel está declarado na Receita Federal.</t>
  </si>
  <si>
    <t>Verificar se o bem consta no ativo</t>
  </si>
  <si>
    <t>Comprovante de Profissão / Renda</t>
  </si>
  <si>
    <t>Para análise de origem dos recursos — prevenção à lavagem.</t>
  </si>
  <si>
    <t>Obrigação do corretor — Lei 9.613/98</t>
  </si>
  <si>
    <t xml:space="preserve">  ▸  CERTIDÕES JUDICIAIS DO VENDEDOR</t>
  </si>
  <si>
    <t>Certidão Distribuidores Cíveis Estaduais</t>
  </si>
  <si>
    <t>Ações cíveis em nome do vendedor — TJ do estado.</t>
  </si>
  <si>
    <t>Solicitar do estado de residência e onde o imóvel está</t>
  </si>
  <si>
    <t>Certidão Justiça Federal (TRF)</t>
  </si>
  <si>
    <t>Ações na Justiça Federal — créditos tributários, execuções fiscais.</t>
  </si>
  <si>
    <t>Site: trf.jus.br</t>
  </si>
  <si>
    <t>Certidão Justiça do Trabalho (TRT)</t>
  </si>
  <si>
    <t>Dívidas trabalhistas — execução pode recair sobre imóvel.</t>
  </si>
  <si>
    <t>Site: trt.jus.br</t>
  </si>
  <si>
    <t>Certidão Justiça Criminal Estadual</t>
  </si>
  <si>
    <t>Verifica condenações criminais do vendedor.</t>
  </si>
  <si>
    <t>Certidão Justiça Criminal Federal</t>
  </si>
  <si>
    <t>Crimes federais — lavagem, corrupção, etc.</t>
  </si>
  <si>
    <t>Certidão de Protesto (Cartório)</t>
  </si>
  <si>
    <t>Protestos de títulos — indicativo de inadimplência.</t>
  </si>
  <si>
    <t>Corretor/Adv.</t>
  </si>
  <si>
    <t>Solicitar na central de protestos do estado</t>
  </si>
  <si>
    <t>Certidão Negativa de Falência e Recuperação Judicial</t>
  </si>
  <si>
    <t>Verifica se há processo de falência — Junta Comercial / TJ.</t>
  </si>
  <si>
    <t>SERASA / SPC — Consulta</t>
  </si>
  <si>
    <t>Verificar situação de crédito e restrições.</t>
  </si>
  <si>
    <t>Com autorização do vendedor</t>
  </si>
  <si>
    <t xml:space="preserve">  ▸  PESSOA JURÍDICA (VENDEDOR EMPRESA)</t>
  </si>
  <si>
    <t>Contrato Social / Estatuto Atualizado</t>
  </si>
  <si>
    <t>Versão consolidada registrada na Junta Comercial.</t>
  </si>
  <si>
    <t>Vendedor PJ</t>
  </si>
  <si>
    <t>Certidão da Junta Comercial (CNPJ Ativo)</t>
  </si>
  <si>
    <t>Comprova regularidade da empresa — situação cadastral.</t>
  </si>
  <si>
    <t>RG e CPF dos Sócios / Representantes Legais</t>
  </si>
  <si>
    <t>Todos os representantes que assinarão a escritura.</t>
  </si>
  <si>
    <t>Ata de Autorização da Venda (Assembleia)</t>
  </si>
  <si>
    <t>Resolução ou ata autorizando a alienação do imóvel.</t>
  </si>
  <si>
    <t>Verificar quórum estatutário</t>
  </si>
  <si>
    <t>Certidão de Débitos Federais da Empresa (CND)</t>
  </si>
  <si>
    <t>CNPJ regular na Receita Federal.</t>
  </si>
  <si>
    <t>Certidão Negativa de Débitos Trabalhistas da Empresa</t>
  </si>
  <si>
    <t>CNDT da empresa vendedora.</t>
  </si>
  <si>
    <t>Certidão de Regularidade FGTS (CRF)</t>
  </si>
  <si>
    <t>Certidão emitida pela Caixa Econômica Federal.</t>
  </si>
  <si>
    <t>Certidão Negativa de Débitos Estaduais (Sefaz)</t>
  </si>
  <si>
    <t>Verificar dívida ativa estadual da empresa.</t>
  </si>
  <si>
    <t xml:space="preserve">  ▸  COMPLIANCE — PREVENÇÃO À LAVAGEM DE DINHEIRO</t>
  </si>
  <si>
    <t>Declaração de Origem dos Recursos</t>
  </si>
  <si>
    <t>Obrigatória para o corretor — Lei 9.613/98 e Res. COFECI 1.336/2014.</t>
  </si>
  <si>
    <t>Arquivar por 5 anos</t>
  </si>
  <si>
    <t>PEP — Verificação de Pessoa Exposta Politicamente</t>
  </si>
  <si>
    <t>Verificar se o vendedor é PEP (cargo público, parente de político, etc.).</t>
  </si>
  <si>
    <t>Maior diligência se for PEP</t>
  </si>
  <si>
    <t>Cadastro no COAF (se necessário)</t>
  </si>
  <si>
    <t>Transações acima de R$ 100 mil — comunicação ao COAF.</t>
  </si>
  <si>
    <t>Corretor/Adm.</t>
  </si>
  <si>
    <t>Obrigatório por lei</t>
  </si>
  <si>
    <t>Ficha Cadastral Preenchida e Assinada</t>
  </si>
  <si>
    <t>Ficha completa do cliente com todos os dados e autorização LGPD.</t>
  </si>
  <si>
    <t xml:space="preserve">   DOCUMENTAÇÃO DO COMPRADOR</t>
  </si>
  <si>
    <t>Documentos de identidade do comprador e cônjuge.</t>
  </si>
  <si>
    <t>Comprador</t>
  </si>
  <si>
    <t>Solteiro, casado, divorciado ou viúvo. Prazo: 90 dias.</t>
  </si>
  <si>
    <t>Se casado: confirmar regime de bens</t>
  </si>
  <si>
    <t>Até 90 dias — conta de consumo ou correspondência oficial.</t>
  </si>
  <si>
    <t>Comprovante de Renda / Fonte</t>
  </si>
  <si>
    <t>Holerite, pró-labore, extrato bancário, declaração IR.</t>
  </si>
  <si>
    <t>Para análise de capacidade financeira</t>
  </si>
  <si>
    <t>Confirma situação fiscal e capacidade de pagamento.</t>
  </si>
  <si>
    <t xml:space="preserve">  ▸  CERTIDÕES E SITUAÇÃO DE CRÉDITO</t>
  </si>
  <si>
    <t>Certidão Negativa de Débitos Federais</t>
  </si>
  <si>
    <t>Situação regular na Receita Federal.</t>
  </si>
  <si>
    <t>Certidão de Protesto</t>
  </si>
  <si>
    <t>Verificar restrições e protestos.</t>
  </si>
  <si>
    <t>SERASA / SPC Consulta</t>
  </si>
  <si>
    <t>Restrições de crédito — com autorização.</t>
  </si>
  <si>
    <t>Certidão Distribuidores Cíveis</t>
  </si>
  <si>
    <t>Processos em nome do comprador.</t>
  </si>
  <si>
    <t>Relevante para financiamentos e garantias</t>
  </si>
  <si>
    <t xml:space="preserve">  ▸  FINANCIAMENTO BANCÁRIO (SE APLICÁVEL)</t>
  </si>
  <si>
    <t>Carta de Crédito / Aprovação de Financiamento</t>
  </si>
  <si>
    <t>Aprovação do banco — valor, prazo e condições.</t>
  </si>
  <si>
    <t>Comprador/Banco</t>
  </si>
  <si>
    <t>Verificar validade da carta</t>
  </si>
  <si>
    <t>Simulação do Financiamento</t>
  </si>
  <si>
    <t>SAC ou PRICE — tabela completa de parcelas.</t>
  </si>
  <si>
    <t>Banco/Comprador</t>
  </si>
  <si>
    <t>Avaliação do Imóvel pelo Banco (PTAM)</t>
  </si>
  <si>
    <t>Banco realiza avaliação independente do imóvel.</t>
  </si>
  <si>
    <t>Banco</t>
  </si>
  <si>
    <t>Seguro Habitacional (MIP + DFI)</t>
  </si>
  <si>
    <t>Morte e Invalidez Permanente + Danos Físicos ao Imóvel.</t>
  </si>
  <si>
    <t>Obrigatório no SFH</t>
  </si>
  <si>
    <t>FGTS — Extrato e Autorização de Uso (se aplicável)</t>
  </si>
  <si>
    <t>Verificar saldo e elegibilidade de uso do FGTS.</t>
  </si>
  <si>
    <t>Comprador/CEF</t>
  </si>
  <si>
    <t>Carta de Quitação do Financiamento Anterior (se troca)</t>
  </si>
  <si>
    <t>Se o comprador já teve financiamento — verificar quitação.</t>
  </si>
  <si>
    <t xml:space="preserve">  ▸  PESSOA JURÍDICA (COMPRADOR EMPRESA)</t>
  </si>
  <si>
    <t>Versão consolidada com representantes legais.</t>
  </si>
  <si>
    <t>Comprador PJ</t>
  </si>
  <si>
    <t>Ata de Autorização da Compra</t>
  </si>
  <si>
    <t>Resolução autorizando a aquisição do imóvel.</t>
  </si>
  <si>
    <t>RG, CPF e poderes dos representantes</t>
  </si>
  <si>
    <t>Quem assinará a escritura — procuração se necessário.</t>
  </si>
  <si>
    <t>Certidão de Regularidade Fiscal da Empresa</t>
  </si>
  <si>
    <t>CND, CNDT, CRF — situação regular.</t>
  </si>
  <si>
    <t xml:space="preserve">  ANÁLISE JURÍDICA</t>
  </si>
  <si>
    <t xml:space="preserve">  ▸  ANÁLISE DA MATRÍCULA E CADEIA DOMINIAL</t>
  </si>
  <si>
    <t>Verificar titularidade atual na matrícula</t>
  </si>
  <si>
    <t>O vendedor é realmente o proprietário? Não há co-proprietários não informados?</t>
  </si>
  <si>
    <t>Cadeia dominial — 15 anos retroativos</t>
  </si>
  <si>
    <t>Analisar todas as transmissões anteriores para detectar vícios.</t>
  </si>
  <si>
    <t>Verificar formal de partilha, doações, heranças</t>
  </si>
  <si>
    <t>Verificar restrições averbadas (Lei 14.825/2024)</t>
  </si>
  <si>
    <t>Com a nova lei, restrições só valem contra terceiros se averbadas.</t>
  </si>
  <si>
    <t>Verificar constrições judiciais na matrícula</t>
  </si>
  <si>
    <t>Penhoras, arrestos, sequestros registrados no CRI.</t>
  </si>
  <si>
    <t>Verificar hipotecas e alienação fiduciária</t>
  </si>
  <si>
    <t>Imóvel dado em garantia? Banco deve autorizar a venda.</t>
  </si>
  <si>
    <t>Verificar usufruto, servidão ou direito de superfície</t>
  </si>
  <si>
    <t>Gravames que limitam o uso pleno do imóvel.</t>
  </si>
  <si>
    <t xml:space="preserve">  ▸  ANÁLISE DE RISCOS JURÍDICOS</t>
  </si>
  <si>
    <t>Fraude contra credores (Art. 158-165 CC)</t>
  </si>
  <si>
    <t>Vendedor insolvente vendendo imóvel para prejudicar credores?</t>
  </si>
  <si>
    <t>Fraude à execução (Art. 792 CPC)</t>
  </si>
  <si>
    <t>Ação de execução em curso + alienação = fraude. Verificar processos.</t>
  </si>
  <si>
    <t>Evicção — análise de terceiros com direitos anteriores</t>
  </si>
  <si>
    <t>Existe terceiro com direito real anterior ao do vendedor?</t>
  </si>
  <si>
    <t>Análise de ações possessórias e reivindicatórias</t>
  </si>
  <si>
    <t>Alguém disputa a posse ou propriedade do imóvel?</t>
  </si>
  <si>
    <t>Verificar herdeiros / inventário em curso</t>
  </si>
  <si>
    <t>Imóvel de herança — todos os herdeiros concordam?</t>
  </si>
  <si>
    <t>Imóvel não pode ser vendido sem partilha judicial ou extrajudicial</t>
  </si>
  <si>
    <t>Verificar regime de bens do vendedor (se casado)</t>
  </si>
  <si>
    <t>Regime de comunhão: outorga do cônjuge é obrigatória.</t>
  </si>
  <si>
    <t>Análise de tombamento e patrimônio histórico</t>
  </si>
  <si>
    <t>IPHAN, órgãos estaduais e municipais.</t>
  </si>
  <si>
    <t>Análise ambiental (APP, APA, Mata Atlântica)</t>
  </si>
  <si>
    <t>Verificar legislação ambiental aplicável ao imóvel.</t>
  </si>
  <si>
    <t>Advogado/Eng.</t>
  </si>
  <si>
    <t xml:space="preserve">  ▸  ANÁLISE DO CONTRATO DE INTERMEDIAÇÃO</t>
  </si>
  <si>
    <t>Autorização de Venda / Captação assinada</t>
  </si>
  <si>
    <t>Documento que autoriza o corretor a intermediar — obrigatório. Lei 6.530/78.</t>
  </si>
  <si>
    <t>Cláusula de Exclusividade (se houver)</t>
  </si>
  <si>
    <t>Prazo, condições e rescisão da exclusividade.</t>
  </si>
  <si>
    <t>Comissão de corretagem — percentual e responsável pelo pagamento</t>
  </si>
  <si>
    <t>De quem é a obrigação de pagar? Súmula 335 STJ.</t>
  </si>
  <si>
    <t>Corretagem: 6% residencial / 3-8% comercial — tabela CRECI</t>
  </si>
  <si>
    <t>Prazo de vigência da autorização</t>
  </si>
  <si>
    <t>A autorização tem prazo definido?</t>
  </si>
  <si>
    <t>Obrigações do corretor conforme CC Art. 723</t>
  </si>
  <si>
    <t>Prestar informações completas — responsabilidade civil.</t>
  </si>
  <si>
    <t xml:space="preserve">  ▸  PARECER JURÍDICO FINAL</t>
  </si>
  <si>
    <t>Parecer jurídico escrito do advogado</t>
  </si>
  <si>
    <t>Documento formal com conclusão sobre a viabilidade do negócio.</t>
  </si>
  <si>
    <t>Arquivar no dossiê</t>
  </si>
  <si>
    <t>Identificação e classificação de riscos</t>
  </si>
  <si>
    <t>Lista de riscos encontrados com nível (baixo/médio/alto/crítico).</t>
  </si>
  <si>
    <t>Recomendações para prosseguir ou não</t>
  </si>
  <si>
    <t>Advogado emite recomendação formal.</t>
  </si>
  <si>
    <t>Definição de cláusulas especiais no contrato</t>
  </si>
  <si>
    <t>Cláusulas de proteção baseadas nos riscos identificados.</t>
  </si>
  <si>
    <t xml:space="preserve"> CARTÓRIO — PROCEDIMENTOS</t>
  </si>
  <si>
    <t xml:space="preserve">  ▸  CARTÓRIO DE REGISTRO DE IMÓVEIS (CRI)</t>
  </si>
  <si>
    <t>Identificar o CRI responsável pelo imóvel</t>
  </si>
  <si>
    <t>Verificar qual circunscrição/CRI é competente pelo endereço.</t>
  </si>
  <si>
    <t>Pesquisar no site da ARISP ou equivalente estadual</t>
  </si>
  <si>
    <t>Solicitar Certidão de Matrícula (30 dias)</t>
  </si>
  <si>
    <t>Certidão atualizada — inteiro teor da matrícula.</t>
  </si>
  <si>
    <t>Solicitar Certidão de Ônus Reais</t>
  </si>
  <si>
    <t>Gravames sobre o imóvel.</t>
  </si>
  <si>
    <t>Solicitar Certidão de Ações Reais</t>
  </si>
  <si>
    <t>Processos que recaem sobre o imóvel.</t>
  </si>
  <si>
    <t>Verificar protocolo de registro após escritura</t>
  </si>
  <si>
    <t>Protocolar a escritura para registro no prazo legal.</t>
  </si>
  <si>
    <t>Prazo: 30 dias após lavratura da escritura</t>
  </si>
  <si>
    <t>Acompanhar registro na matrícula</t>
  </si>
  <si>
    <t>Confirmar que a transferência foi registrada corretamente.</t>
  </si>
  <si>
    <t>Guardar número do registro e data</t>
  </si>
  <si>
    <t>Anotar número do AV (averbação) e R (registro).</t>
  </si>
  <si>
    <t xml:space="preserve">  ▸  CARTÓRIO DE NOTAS (TABELIONATO)</t>
  </si>
  <si>
    <t>Identificar o Cartório de Notas para a escritura</t>
  </si>
  <si>
    <t>Qualquer tabelionato pode lavrar a escritura (livre escolha das partes).</t>
  </si>
  <si>
    <t>Solicitar orçamento de emolumentos</t>
  </si>
  <si>
    <t>Custas da escritura variam por estado e valor do imóvel.</t>
  </si>
  <si>
    <t>Tabela ANOREG do estado</t>
  </si>
  <si>
    <t>Autenticar documentos necessários</t>
  </si>
  <si>
    <t>Cópias autenticadas dos documentos pessoais.</t>
  </si>
  <si>
    <t>Corretor/Partes</t>
  </si>
  <si>
    <t>Reconhecimento de firma (se necessário)</t>
  </si>
  <si>
    <t>Assinaturas em contratos particulares podem exigir reconhecimento.</t>
  </si>
  <si>
    <t>Partes</t>
  </si>
  <si>
    <t>Procuração por instrumento público (se necessário)</t>
  </si>
  <si>
    <t>Se uma das partes usará procurador — lavrar no cartório.</t>
  </si>
  <si>
    <t>Parte representada</t>
  </si>
  <si>
    <t>Agendar data e horário para lavrar escritura</t>
  </si>
  <si>
    <t>Confirmar disponibilidade de todas as partes.</t>
  </si>
  <si>
    <t>Lavratura da Escritura Pública de C&amp;V</t>
  </si>
  <si>
    <t>Ato praticado pelo tabelião — publicidade e fé pública.</t>
  </si>
  <si>
    <t>Tabelião</t>
  </si>
  <si>
    <t xml:space="preserve">  ▸  DOCUMENTOS PARA O CARTÓRIO DE NOTAS</t>
  </si>
  <si>
    <t>ITBI — Recolhimento prévio</t>
  </si>
  <si>
    <t>Imposto de Transmissão de Bens Imóveis — pagar antes da escritura.</t>
  </si>
  <si>
    <t>Alíquota varia por município (2% a 5%)</t>
  </si>
  <si>
    <t>Guia de ITBI paga</t>
  </si>
  <si>
    <t>Comprovante de pagamento do ITBI.</t>
  </si>
  <si>
    <t>Matrícula atualizada (30 dias)</t>
  </si>
  <si>
    <t>Para apresentação no cartório de notas.</t>
  </si>
  <si>
    <t>Documentos pessoais de todos os envolvidos</t>
  </si>
  <si>
    <t>Vendedor, cônjuge, comprador, cônjuge — originais.</t>
  </si>
  <si>
    <t>Certidão de Estado Civil de todos</t>
  </si>
  <si>
    <t>Atualizada — prazo 90 dias.</t>
  </si>
  <si>
    <t>CND Municipal do Imóvel (IPTU)</t>
  </si>
  <si>
    <t>Certidão Negativa de Débitos Municipais.</t>
  </si>
  <si>
    <t>CND Federal das partes</t>
  </si>
  <si>
    <t>Procuração (se necessário)</t>
  </si>
  <si>
    <t>Original ou certidão do cartório.</t>
  </si>
  <si>
    <t>Procurador</t>
  </si>
  <si>
    <t xml:space="preserve">  💰 FINANCEIRO, FISCAL &amp; TRIBUTOS</t>
  </si>
  <si>
    <t xml:space="preserve">  ▸  IMPOSTOS E TRIBUTOS DA TRANSAÇÃO</t>
  </si>
  <si>
    <t>ITBI — Cálculo e recolhimento</t>
  </si>
  <si>
    <t>Imposto municipal sobre transmissão. Base: valor venal ou de mercado (maior). Pago pelo comprador.</t>
  </si>
  <si>
    <t>Alíquota média: 2% a 3% — verificar município</t>
  </si>
  <si>
    <t>ITCMD (doação/herança — se aplicável)</t>
  </si>
  <si>
    <t>Imposto estadual sobre doação ou herança de imóvel.</t>
  </si>
  <si>
    <t>Parte beneficiada</t>
  </si>
  <si>
    <t>IR sobre ganho de capital do vendedor</t>
  </si>
  <si>
    <t>Vendedor pessoa física: 15%-22,5% sobre lucro. Isenção: único imóvel até R$ 440 mil ou reinvestimento em 180 dias.</t>
  </si>
  <si>
    <t>GCAP — programa Receita Federal</t>
  </si>
  <si>
    <t>Declaração de GCAP pelo vendedor</t>
  </si>
  <si>
    <t>Preenchimento do programa GCAP da Receita Federal.</t>
  </si>
  <si>
    <t>Vendedor/Contador</t>
  </si>
  <si>
    <t>Retenção de IR na fonte (se PJ)</t>
  </si>
  <si>
    <t>Se o vendedor for PJ — verificar obrigação de retenção.</t>
  </si>
  <si>
    <t>Contador</t>
  </si>
  <si>
    <t>ISS sobre serviços do corretor (se empresa)</t>
  </si>
  <si>
    <t>Imposto sobre serviço de corretagem — se corretor PJ.</t>
  </si>
  <si>
    <t>Corretor PJ</t>
  </si>
  <si>
    <t xml:space="preserve">  ▸  COMISSÃO DE CORRETAGEM</t>
  </si>
  <si>
    <t>Percentual acordado e base de cálculo</t>
  </si>
  <si>
    <t>Tabela CRECI: 6-8% para residencial; 3-6% comercial.</t>
  </si>
  <si>
    <t>Verificar tabela do CRECI estadual</t>
  </si>
  <si>
    <t>Quem paga a comissão (vendedor ou comprador)</t>
  </si>
  <si>
    <t>Definir no contrato de intermediação — Súmula 335 STJ.</t>
  </si>
  <si>
    <t>NF de Serviço / Recibo de Corretagem</t>
  </si>
  <si>
    <t>Emitir nota fiscal de serviços ou recibo assinado.</t>
  </si>
  <si>
    <t>Rateio entre corretores (se aplicável)</t>
  </si>
  <si>
    <t>Captação + venda: como dividir a comissão.</t>
  </si>
  <si>
    <t>Acordo prévio por escrito</t>
  </si>
  <si>
    <t>Comissão paga após conclusão do negócio</t>
  </si>
  <si>
    <t>Corretor tem direito à comissão após concluída a mediação — CC Art. 725.</t>
  </si>
  <si>
    <t xml:space="preserve">  ▸  CONDIÇÕES DE PAGAMENTO</t>
  </si>
  <si>
    <t>Forma de pagamento definida</t>
  </si>
  <si>
    <t>À vista, parcelado, financiamento bancário, permuta, FGTS.</t>
  </si>
  <si>
    <t>Sinal / Arras</t>
  </si>
  <si>
    <t>Valor do sinal — arras confirmatórias ou penitenciais. CC Art. 417.</t>
  </si>
  <si>
    <t>Partes/Adv.</t>
  </si>
  <si>
    <t>Definir natureza das arras no contrato</t>
  </si>
  <si>
    <t>Comprovante de transferência / TED / DOC</t>
  </si>
  <si>
    <t>Registrar todos os pagamentos com comprovante.</t>
  </si>
  <si>
    <t>Conta para depósito definida (CVC)</t>
  </si>
  <si>
    <t>Conta corrente para recebimento confirmada por escrito.</t>
  </si>
  <si>
    <t>Prazo para liberação do saldo final</t>
  </si>
  <si>
    <t>Data e condição para pagamento do restante.</t>
  </si>
  <si>
    <t>Desconto por antecipação (se aplicável)</t>
  </si>
  <si>
    <t>Acordo de desconto por pagamento antecipado.</t>
  </si>
  <si>
    <t xml:space="preserve">  ▸  FINANCIAMENTO IMOBILIÁRIO</t>
  </si>
  <si>
    <t>Banco aprovador e modalidade (SFH/SFI)</t>
  </si>
  <si>
    <t>Sistema Financeiro de Habitação ou Imobiliário.</t>
  </si>
  <si>
    <t>SFH: limite de R$ 1,5 mi; taxa limitada</t>
  </si>
  <si>
    <t>Valor do financiamento aprovado</t>
  </si>
  <si>
    <t>Percentual do valor do imóvel aprovado pelo banco.</t>
  </si>
  <si>
    <t>Taxa de juros e CET contratados</t>
  </si>
  <si>
    <t>Custo Efetivo Total — incluindo seguros e tarifas.</t>
  </si>
  <si>
    <t>Prazo do financiamento (meses)</t>
  </si>
  <si>
    <t>Prazo total do contrato de financiamento.</t>
  </si>
  <si>
    <t>Data prevista de liberação do crédito</t>
  </si>
  <si>
    <t>Quando o banco liberará os recursos ao vendedor.</t>
  </si>
  <si>
    <t>Conta-escrow ou intermediação segura</t>
  </si>
  <si>
    <t>Se houver valor fora do financiamento — proteção das partes.</t>
  </si>
  <si>
    <t xml:space="preserve">  CONTRATOS E DOCUMENTOS NEGOCIAIS</t>
  </si>
  <si>
    <t xml:space="preserve">  ▸  CONTRATO DE INTERMEDIAÇÃO (AUTORIZAÇÃO DE VENDA)</t>
  </si>
  <si>
    <t>Autorização de Venda assinada pelo proprietário</t>
  </si>
  <si>
    <t>Documento habilitante do corretor — Lei 6.530/78.</t>
  </si>
  <si>
    <t>Dados completos do imóvel no contrato</t>
  </si>
  <si>
    <t>Endereço, matrícula, metragem, características.</t>
  </si>
  <si>
    <t>Prazo da autorização definido</t>
  </si>
  <si>
    <t>Data de início e término da autorização.</t>
  </si>
  <si>
    <t>Cláusula de exclusividade (se houver)</t>
  </si>
  <si>
    <t>Condições, prazo e penalidade por descumprimento.</t>
  </si>
  <si>
    <t>Comissão: percentual e quem paga</t>
  </si>
  <si>
    <t>Cláusula clara sobre a comissão.</t>
  </si>
  <si>
    <t>Obrigações do corretor listadas</t>
  </si>
  <si>
    <t>Divulgação, visitas, due diligence, sigilo.</t>
  </si>
  <si>
    <t xml:space="preserve">  ▸  PROPOSTA DE COMPRA E VENDA</t>
  </si>
  <si>
    <t>Proposta formal por escrito</t>
  </si>
  <si>
    <t>Valor ofertado, condições de pagamento, prazo de validade.</t>
  </si>
  <si>
    <t>Contra-proposta (se houver)</t>
  </si>
  <si>
    <t>Registrar todas as contra-propostas por escrito.</t>
  </si>
  <si>
    <t>Aceite formal do vendedor</t>
  </si>
  <si>
    <t>Confirmação escrita do aceite da proposta.</t>
  </si>
  <si>
    <t>Prazo de validade da proposta</t>
  </si>
  <si>
    <t>Data de vencimento da proposta.</t>
  </si>
  <si>
    <t xml:space="preserve">  ▸  CONTRATO PARTICULAR DE COMPROMISSO DE C&amp;V (PROMESSA)</t>
  </si>
  <si>
    <t>Partes identificadas completamente</t>
  </si>
  <si>
    <t>Nome, CPF/CNPJ, estado civil, endereço de ambas as partes.</t>
  </si>
  <si>
    <t>Descrição completa do imóvel</t>
  </si>
  <si>
    <t>Endereço, matrícula, área total, benfeitorias.</t>
  </si>
  <si>
    <t>Valor total, sinal e forma de pagamento</t>
  </si>
  <si>
    <t>Todas as condições financeiras detalhadas.</t>
  </si>
  <si>
    <t>Prazo para lavratura da escritura definitiva</t>
  </si>
  <si>
    <t>Data limite para formalizar a venda em cartório.</t>
  </si>
  <si>
    <t>Cláusula de arras (confirmatórias ou penitenciais)</t>
  </si>
  <si>
    <t>CC Art. 417-420 — consequências do descumprimento.</t>
  </si>
  <si>
    <t>Cláusula de rescisão e multa</t>
  </si>
  <si>
    <t>Condições de rescisão e penalidades.</t>
  </si>
  <si>
    <t>Cláusula de posse e entrega de chaves</t>
  </si>
  <si>
    <t>Data e condições para a entrega do imóvel.</t>
  </si>
  <si>
    <t>Cláusula de responsabilidade por débitos</t>
  </si>
  <si>
    <t>Quem arca com débitos anteriores à venda.</t>
  </si>
  <si>
    <t>Cláusula de regularização pendente (se houver)</t>
  </si>
  <si>
    <t>Se houver pendência: prazo e responsável pela regularização.</t>
  </si>
  <si>
    <t>Foro de eleição</t>
  </si>
  <si>
    <t>Definir o foro para solução de conflitos.</t>
  </si>
  <si>
    <t>Assinaturas com 2 testemunhas + reconhecimento</t>
  </si>
  <si>
    <t>Testemunhas e reconhecimento de firma aumentam a segurança.</t>
  </si>
  <si>
    <t>Averbação da promessa na matrícula (recomendado)</t>
  </si>
  <si>
    <t>Protege o comprador de alienações futuras.</t>
  </si>
  <si>
    <t xml:space="preserve">  ▸  VERIFICAÇÕES PÓS-ASSINATURA DO CONTRATO</t>
  </si>
  <si>
    <t>Cópia do contrato entregue a todas as partes</t>
  </si>
  <si>
    <t>Vendedor, comprador e corretor devem ter uma via.</t>
  </si>
  <si>
    <t>Contrato arquivado no dossiê da corretagem</t>
  </si>
  <si>
    <t>Guardar por no mínimo 5 anos.</t>
  </si>
  <si>
    <t>Prazos contratuais monitorados</t>
  </si>
  <si>
    <t>Criar alertas para datas importantes do contrato.</t>
  </si>
  <si>
    <t xml:space="preserve">   ESCRITURA, REGISTRO &amp; PÓS-FECHAMENTO</t>
  </si>
  <si>
    <t xml:space="preserve">  ▸  PREPARAÇÃO PARA A ESCRITURA</t>
  </si>
  <si>
    <t>Todos os documentos do checklist reunidos</t>
  </si>
  <si>
    <t>Confirmar que nenhum item crítico está pendente.</t>
  </si>
  <si>
    <t>ITBI recolhido e comprovante em mãos</t>
  </si>
  <si>
    <t>Apresentar guia paga ao cartório de notas.</t>
  </si>
  <si>
    <t>Data e horário da escritura agendados</t>
  </si>
  <si>
    <t>Cartório de notas confirmado.</t>
  </si>
  <si>
    <t>Todas as partes notificadas sobre a data</t>
  </si>
  <si>
    <t>Vendedor, comprador, representantes, procuradores.</t>
  </si>
  <si>
    <t>Documentos originais separados para o dia</t>
  </si>
  <si>
    <t>Lista completa de originais a apresentar.</t>
  </si>
  <si>
    <t xml:space="preserve">  ▸  LAVRATURA DA ESCRITURA PÚBLICA</t>
  </si>
  <si>
    <t>Leitura em voz alta da escritura pelo tabelião</t>
  </si>
  <si>
    <t>Direito das partes — confirmar que está correto.</t>
  </si>
  <si>
    <t>Verificar dados do imóvel na escritura</t>
  </si>
  <si>
    <t>Endereço, matrícula, área — conferir com certidão.</t>
  </si>
  <si>
    <t>Verificar dados das partes na escritura</t>
  </si>
  <si>
    <t>CPF, RG, estado civil, endereço — conferir com documentos.</t>
  </si>
  <si>
    <t>Verificar valor declarado na escritura</t>
  </si>
  <si>
    <t>Valor de venda declarado — base para ITBI e IR.</t>
  </si>
  <si>
    <t>Assinatura de todas as partes</t>
  </si>
  <si>
    <t>Vendedor, cônjuge, comprador, cônjuge, procuradores.</t>
  </si>
  <si>
    <t>Tabelião/Partes</t>
  </si>
  <si>
    <t>Tabelião assina e lança no livro de notas</t>
  </si>
  <si>
    <t>Protocolo e número do ato no cartório.</t>
  </si>
  <si>
    <t>Retirar certidão/traslado da escritura</t>
  </si>
  <si>
    <t>Cópia certificada para apresentar ao CRI.</t>
  </si>
  <si>
    <t xml:space="preserve">  ▸  REGISTRO DA ESCRITURA NO CRI</t>
  </si>
  <si>
    <t>Protocolar a escritura no CRI</t>
  </si>
  <si>
    <t>Prazo recomendado: até 30 dias após a lavratura.</t>
  </si>
  <si>
    <t>Advogado/Comprador</t>
  </si>
  <si>
    <t>Recolher emolumentos do registro</t>
  </si>
  <si>
    <t>Custas de registro no CRI — tabela estadual.</t>
  </si>
  <si>
    <t>Acompanhar prazo de qualificação registral</t>
  </si>
  <si>
    <t>CRI tem prazo para analisar e registrar ou devolver.</t>
  </si>
  <si>
    <t>Exigências do CRI — atender se necessário</t>
  </si>
  <si>
    <t>Se houver exigências, cumprir no prazo.</t>
  </si>
  <si>
    <t>Registro efetivado na matrícula</t>
  </si>
  <si>
    <t>Confirmar que o R (Registro) foi lançado na matrícula.</t>
  </si>
  <si>
    <t>Retirar nova certidão de matrícula pós-registro</t>
  </si>
  <si>
    <t>Confirmar o nome do comprador como novo proprietário.</t>
  </si>
  <si>
    <t xml:space="preserve">  ▸  PÓS-FECHAMENTO — ENTREGA E ENCERRAMENTO</t>
  </si>
  <si>
    <t>Entrega das chaves ao comprador</t>
  </si>
  <si>
    <t>Na data acordada no contrato — lavrar termo de entrega.</t>
  </si>
  <si>
    <t>Termo de Entrega de Chaves assinado</t>
  </si>
  <si>
    <t>Registrar formalmente a entrega do imóvel.</t>
  </si>
  <si>
    <t>Vistoria de entrega do imóvel</t>
  </si>
  <si>
    <t>Comparar estado na entrega com o estado original.</t>
  </si>
  <si>
    <t>Transferência de titularidade nas concessionárias</t>
  </si>
  <si>
    <t>Luz, água, gás, condomínio — transferir para o comprador.</t>
  </si>
  <si>
    <t>Comunicar à prefeitura a mudança de proprietário</t>
  </si>
  <si>
    <t>Atualização do IPTU para o nome do comprador.</t>
  </si>
  <si>
    <t>Pagamento da comissão de corretagem</t>
  </si>
  <si>
    <t>Confirmação do recebimento — emitir recibo.</t>
  </si>
  <si>
    <t>Nota Fiscal de Serviços emitida</t>
  </si>
  <si>
    <t>NF de corretagem — obrigação fiscal.</t>
  </si>
  <si>
    <t>Arquivamento completo do dossiê</t>
  </si>
  <si>
    <t>Guardar toda a documentação por mínimo 5 anos.</t>
  </si>
  <si>
    <t>Feedback / Avaliação do cliente</t>
  </si>
  <si>
    <t>Solicitar avaliação do serviço prestado.</t>
  </si>
  <si>
    <t>TIMELINE &amp; CONTROLE DE PRAZOS</t>
  </si>
  <si>
    <t>ETAPA</t>
  </si>
  <si>
    <t>FASE</t>
  </si>
  <si>
    <t>DESCRIÇÃO DA ATIVIDADE</t>
  </si>
  <si>
    <t>DATA PREVISTA</t>
  </si>
  <si>
    <t>DATA REAL</t>
  </si>
  <si>
    <t>STATUS / OBSERVAÇÕES</t>
  </si>
  <si>
    <t>1</t>
  </si>
  <si>
    <t>PRÉ-CAPTAÇÃO</t>
  </si>
  <si>
    <t>Pesquisa de mercado e definição de preço</t>
  </si>
  <si>
    <t>2</t>
  </si>
  <si>
    <t>Visita ao imóvel e coleta de dados</t>
  </si>
  <si>
    <t>3</t>
  </si>
  <si>
    <t>CAPTAÇÃO</t>
  </si>
  <si>
    <t>Assinatura da autorização de venda</t>
  </si>
  <si>
    <t>Corretor + Vendedor</t>
  </si>
  <si>
    <t>4</t>
  </si>
  <si>
    <t>Coleta de documentos do imóvel e vendedor</t>
  </si>
  <si>
    <t>5</t>
  </si>
  <si>
    <t>DUE DILIGENCE</t>
  </si>
  <si>
    <t>Solicitação de certidões cartoriais</t>
  </si>
  <si>
    <t>6</t>
  </si>
  <si>
    <t>Análise jurídica da documentação</t>
  </si>
  <si>
    <t>7</t>
  </si>
  <si>
    <t>Vistoria técnica do imóvel</t>
  </si>
  <si>
    <t>8</t>
  </si>
  <si>
    <t>Verificação fiscal e tributária</t>
  </si>
  <si>
    <t>Contador/Advogado</t>
  </si>
  <si>
    <t>9</t>
  </si>
  <si>
    <t>NEGOCIAÇÃO</t>
  </si>
  <si>
    <t>Recebimento e análise de propostas</t>
  </si>
  <si>
    <t>10</t>
  </si>
  <si>
    <t>Apresentação de proposta ao vendedor</t>
  </si>
  <si>
    <t>11</t>
  </si>
  <si>
    <t>Negociação e contra-proposta</t>
  </si>
  <si>
    <t>12</t>
  </si>
  <si>
    <t>Aceite da proposta</t>
  </si>
  <si>
    <t>13</t>
  </si>
  <si>
    <t>CONTRATO</t>
  </si>
  <si>
    <t>Elaboração do contrato de promessa</t>
  </si>
  <si>
    <t>14</t>
  </si>
  <si>
    <t>Revisão pelas partes</t>
  </si>
  <si>
    <t>Partes + Advogados</t>
  </si>
  <si>
    <t>15</t>
  </si>
  <si>
    <t>Assinatura do contrato / promessa</t>
  </si>
  <si>
    <t>16</t>
  </si>
  <si>
    <t>Registro da promessa na matrícula (opt.)</t>
  </si>
  <si>
    <t>17</t>
  </si>
  <si>
    <t>FINANCEIRO</t>
  </si>
  <si>
    <t>Aprovação do financiamento (se aplicável)</t>
  </si>
  <si>
    <t>Banco + Comprador</t>
  </si>
  <si>
    <t>18</t>
  </si>
  <si>
    <t>Cálculo e pagamento do ITBI</t>
  </si>
  <si>
    <t>19</t>
  </si>
  <si>
    <t>Pagamento do sinal / arras</t>
  </si>
  <si>
    <t>20</t>
  </si>
  <si>
    <t>CARTÓRIO</t>
  </si>
  <si>
    <t>Agendamento da escritura</t>
  </si>
  <si>
    <t>21</t>
  </si>
  <si>
    <t>Lavratura da escritura pública</t>
  </si>
  <si>
    <t>Tabelião + Partes</t>
  </si>
  <si>
    <t>22</t>
  </si>
  <si>
    <t>Protocolo da escritura no CRI</t>
  </si>
  <si>
    <t>23</t>
  </si>
  <si>
    <t>Registro da escritura na matrícula</t>
  </si>
  <si>
    <t>CRI</t>
  </si>
  <si>
    <t>24</t>
  </si>
  <si>
    <t>ENCERRAMENTO</t>
  </si>
  <si>
    <t>Entrega das chaves + Termo de entrega</t>
  </si>
  <si>
    <t>25</t>
  </si>
  <si>
    <t>Transferência de concessionárias</t>
  </si>
  <si>
    <t>26</t>
  </si>
  <si>
    <t>Recebimento e emissão de NF de corretagem</t>
  </si>
  <si>
    <t>27</t>
  </si>
  <si>
    <t>Arquivamento do dossiê completo</t>
  </si>
  <si>
    <t xml:space="preserve"> REGISTRO DE VISITAS, CONTATOS E NEGOCIAÇÕES</t>
  </si>
  <si>
    <t>INTERESSADO (NOME)</t>
  </si>
  <si>
    <t>CONTATO (FONE/E-MAIL)</t>
  </si>
  <si>
    <t>OBSERVAÇÕES DA VISITA</t>
  </si>
  <si>
    <t>PROPOSTA VALOR</t>
  </si>
  <si>
    <t>CONDIÇÃO</t>
  </si>
  <si>
    <t>RESULTADO</t>
  </si>
  <si>
    <t>PRÓXIMO PASSO</t>
  </si>
  <si>
    <t xml:space="preserve"> MAPA DE RISCOS — DUE DILIGENCE</t>
  </si>
  <si>
    <t>RISCO IDENTIFICADO</t>
  </si>
  <si>
    <t>DESCRIÇÃO E IMPACTO POTENCIAL</t>
  </si>
  <si>
    <t>CATEGORIA</t>
  </si>
  <si>
    <t>NÍVEL</t>
  </si>
  <si>
    <t>AÇÃO RECOMENDADA</t>
  </si>
  <si>
    <t>Penhora não averbada na matrícula</t>
  </si>
  <si>
    <t>Risco de bloqueio judicial do imóvel após a venda. Lei 14.825/2024 — pesquisar sistemas judiciais.</t>
  </si>
  <si>
    <t>Jurídico</t>
  </si>
  <si>
    <t>🔴 Alto</t>
  </si>
  <si>
    <t>Solicitar certidão de ações reais e buscar processos pelo nome</t>
  </si>
  <si>
    <t>Débito de IPTU em aberto</t>
  </si>
  <si>
    <t>Dívida tributária acompanha o imóvel — novo proprietário pode ser acionado.</t>
  </si>
  <si>
    <t>Fiscal</t>
  </si>
  <si>
    <t>🟡 Médio</t>
  </si>
  <si>
    <t>Solicitar CND Municipal e negociar desconto no preço</t>
  </si>
  <si>
    <t>Cônjuge não identificado</t>
  </si>
  <si>
    <t>Outorga conjugal não obtida — escritura pode ser anulada. CC Art. 1647.</t>
  </si>
  <si>
    <t>Verificar estado civil e obter assinatura do cônjuge</t>
  </si>
  <si>
    <t>Construção não averbada</t>
  </si>
  <si>
    <t>Área construída sem averbação — problema no financiamento e na escritura.</t>
  </si>
  <si>
    <t>Registral</t>
  </si>
  <si>
    <t>Regularizar junto à prefeitura e CRI antes do fechamento</t>
  </si>
  <si>
    <t>Vendedor em processo de falência</t>
  </si>
  <si>
    <t>Alienação pode ser revogada — fraude contra credores.</t>
  </si>
  <si>
    <t>⚫ Crítico</t>
  </si>
  <si>
    <t>Verificar Junta Comercial e TJ — não prosseguir até resolução</t>
  </si>
  <si>
    <t>Imóvel em área de APP ou proteção ambiental</t>
  </si>
  <si>
    <t>Restrições de uso, impossibilidade de construção, multas futuras.</t>
  </si>
  <si>
    <t>Ambiental</t>
  </si>
  <si>
    <t>Verificar CAR, SICAR e legislação ambiental municipal</t>
  </si>
  <si>
    <t>Divergência de metragem (escritura x realidade)</t>
  </si>
  <si>
    <t>Área real diferente da registrada — problemas no financiamento.</t>
  </si>
  <si>
    <t>Técnico</t>
  </si>
  <si>
    <t>Solicitar laudo de vistoria e georreferenciamento</t>
  </si>
  <si>
    <t>Vendedor PEP (Pessoa Exposta Politicamente)</t>
  </si>
  <si>
    <t>Maior risco de lavagem de dinheiro — diligência reforçada obrigatória.</t>
  </si>
  <si>
    <t>Compliance</t>
  </si>
  <si>
    <t>Aplicar procedimentos de PEP — Lei 9.613/98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</si>
</sst>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3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10.0"/>
      <color rgb="FFFFFFFF"/>
      <name val="Arial"/>
    </font>
    <font>
      <b/>
      <sz val="8.0"/>
      <color rgb="FFFFFFFF"/>
      <name val="Verdana"/>
    </font>
    <font>
      <b/>
      <sz val="8.0"/>
      <color rgb="FF1A1A1A"/>
      <name val="Verdana"/>
    </font>
    <font>
      <sz val="8.0"/>
      <color rgb="FF1A1A1A"/>
      <name val="Verdana"/>
    </font>
    <font>
      <b/>
      <sz val="11.0"/>
      <color rgb="FFFFFFFF"/>
      <name val="Arial"/>
    </font>
    <font>
      <b/>
      <sz val="9.0"/>
      <color rgb="FF1B3A6B"/>
      <name val="Arial"/>
    </font>
    <font>
      <sz val="9.0"/>
      <color rgb="FF1A1A1A"/>
      <name val="Arial"/>
    </font>
    <font>
      <b/>
      <color theme="1"/>
      <name val="Calibri"/>
      <scheme val="minor"/>
    </font>
    <font>
      <b/>
      <i/>
      <sz val="8.0"/>
      <color rgb="FFFFFFFF"/>
      <name val="Verdana"/>
    </font>
    <font>
      <sz val="8.0"/>
      <color theme="1"/>
      <name val="Verdana"/>
    </font>
    <font>
      <b/>
      <sz val="8.0"/>
      <color rgb="FF1B3A6B"/>
      <name val="Verdana"/>
    </font>
    <font>
      <i/>
      <sz val="8.0"/>
      <color rgb="FF1A1A1A"/>
      <name val="Verdana"/>
    </font>
    <font>
      <i/>
      <sz val="8.0"/>
      <color rgb="FF555555"/>
      <name val="Verdana"/>
    </font>
    <font>
      <b/>
      <sz val="9.0"/>
      <color rgb="FF1A1A1A"/>
      <name val="Arial"/>
    </font>
    <font>
      <i/>
      <sz val="9.0"/>
      <color rgb="FF1A1A1A"/>
      <name val="Arial"/>
    </font>
    <font>
      <i/>
      <sz val="9.0"/>
      <color rgb="FF555555"/>
      <name val="Arial"/>
    </font>
    <font>
      <b/>
      <sz val="11.0"/>
      <color rgb="FFFFFFFF"/>
      <name val="Verdana"/>
    </font>
    <font>
      <b/>
      <sz val="8.0"/>
      <color rgb="FF1F7A4D"/>
      <name val="Verdana"/>
    </font>
    <font>
      <b/>
      <sz val="8.0"/>
      <color rgb="FFE67E22"/>
      <name val="Verdana"/>
    </font>
    <font>
      <b/>
      <sz val="9.0"/>
      <color rgb="FFE67E22"/>
      <name val="Arial"/>
    </font>
    <font>
      <b/>
      <sz val="8.0"/>
      <color rgb="FF8E44AD"/>
      <name val="Verdana"/>
    </font>
    <font>
      <b/>
      <sz val="9.0"/>
      <color rgb="FF8E44AD"/>
      <name val="Arial"/>
    </font>
    <font>
      <b/>
      <sz val="9.0"/>
      <color rgb="FF1F7A4D"/>
      <name val="Arial"/>
    </font>
    <font>
      <b/>
      <sz val="10.0"/>
      <color rgb="FFFFFFFF"/>
      <name val="Verdana"/>
    </font>
    <font>
      <b/>
      <sz val="8.0"/>
      <color rgb="FF16A085"/>
      <name val="Verdana"/>
    </font>
    <font>
      <b/>
      <sz val="8.0"/>
      <color rgb="FF2C3E50"/>
      <name val="Verdana"/>
    </font>
    <font>
      <sz val="8.0"/>
      <color theme="1"/>
      <name val="Calibri"/>
      <scheme val="minor"/>
    </font>
    <font>
      <b/>
      <sz val="8.0"/>
      <color rgb="FFFFFFFF"/>
      <name val="Arial"/>
    </font>
    <font>
      <sz val="8.0"/>
      <color rgb="FF1A1A1A"/>
      <name val="Arial"/>
    </font>
    <font>
      <b/>
      <sz val="8.0"/>
      <color rgb="FF1A1A1A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6DB4"/>
        <bgColor rgb="FF2E6DB4"/>
      </patternFill>
    </fill>
    <fill>
      <patternFill patternType="solid">
        <fgColor rgb="FFD6E4F7"/>
        <bgColor rgb="FFD6E4F7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F7A4D"/>
        <bgColor rgb="FF1F7A4D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2C3E50"/>
        <bgColor rgb="FF2C3E50"/>
      </patternFill>
    </fill>
    <fill>
      <patternFill patternType="solid">
        <fgColor rgb="FFC8F7D6"/>
        <bgColor rgb="FFC8F7D6"/>
      </patternFill>
    </fill>
    <fill>
      <patternFill patternType="solid">
        <fgColor rgb="FFFFF3CD"/>
        <bgColor rgb="FFFFF3CD"/>
      </patternFill>
    </fill>
    <fill>
      <patternFill patternType="solid">
        <fgColor rgb="FFFFE0CC"/>
        <bgColor rgb="FFFFE0CC"/>
      </patternFill>
    </fill>
    <fill>
      <patternFill patternType="solid">
        <fgColor rgb="FFE8D5F5"/>
        <bgColor rgb="FFE8D5F5"/>
      </patternFill>
    </fill>
    <fill>
      <patternFill patternType="solid">
        <fgColor rgb="FFD5F5E3"/>
        <bgColor rgb="FFD5F5E3"/>
      </patternFill>
    </fill>
    <fill>
      <patternFill patternType="solid">
        <fgColor rgb="FFD5EAF5"/>
        <bgColor rgb="FFD5EAF5"/>
      </patternFill>
    </fill>
    <fill>
      <patternFill patternType="solid">
        <fgColor rgb="FFF5D5D5"/>
        <bgColor rgb="FFF5D5D5"/>
      </patternFill>
    </fill>
    <fill>
      <patternFill patternType="solid">
        <fgColor rgb="FFC0392B"/>
        <bgColor rgb="FFC0392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6" fontId="5" numFmtId="0" xfId="0" applyAlignment="1" applyBorder="1" applyFill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4" fillId="4" fontId="8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left" vertical="center"/>
    </xf>
    <xf borderId="4" fillId="6" fontId="8" numFmtId="0" xfId="0" applyAlignment="1" applyBorder="1" applyFont="1">
      <alignment horizontal="left" vertical="center"/>
    </xf>
    <xf borderId="4" fillId="6" fontId="9" numFmtId="0" xfId="0" applyAlignment="1" applyBorder="1" applyFont="1">
      <alignment horizontal="left" vertical="center"/>
    </xf>
    <xf borderId="5" fillId="6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/>
    </xf>
    <xf borderId="1" fillId="2" fontId="4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right" vertical="center"/>
    </xf>
    <xf borderId="0" fillId="0" fontId="12" numFmtId="0" xfId="0" applyFont="1"/>
    <xf borderId="4" fillId="2" fontId="4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6" fontId="15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vertical="center"/>
    </xf>
    <xf borderId="4" fillId="4" fontId="6" numFmtId="164" xfId="0" applyAlignment="1" applyBorder="1" applyFont="1" applyNumberFormat="1">
      <alignment horizontal="center" vertical="center"/>
    </xf>
    <xf borderId="4" fillId="4" fontId="15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center" vertical="center"/>
    </xf>
    <xf borderId="4" fillId="6" fontId="16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center" vertical="center"/>
    </xf>
    <xf borderId="4" fillId="6" fontId="9" numFmtId="164" xfId="0" applyAlignment="1" applyBorder="1" applyFont="1" applyNumberFormat="1">
      <alignment horizontal="center" vertical="center"/>
    </xf>
    <xf borderId="4" fillId="6" fontId="1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vertical="center"/>
    </xf>
    <xf borderId="4" fillId="4" fontId="16" numFmtId="0" xfId="0" applyAlignment="1" applyBorder="1" applyFont="1">
      <alignment horizontal="left" shrinkToFit="0" vertical="center" wrapText="1"/>
    </xf>
    <xf borderId="4" fillId="4" fontId="17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16" numFmtId="0" xfId="0" applyAlignment="1" applyBorder="1" applyFont="1">
      <alignment horizontal="center" vertical="center"/>
    </xf>
    <xf borderId="4" fillId="4" fontId="9" numFmtId="164" xfId="0" applyAlignment="1" applyBorder="1" applyFont="1" applyNumberFormat="1">
      <alignment horizontal="center" vertical="center"/>
    </xf>
    <xf borderId="4" fillId="4" fontId="18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vertical="center"/>
    </xf>
    <xf borderId="1" fillId="7" fontId="19" numFmtId="0" xfId="0" applyAlignment="1" applyBorder="1" applyFill="1" applyFont="1">
      <alignment horizontal="center" readingOrder="0" vertical="center"/>
    </xf>
    <xf borderId="4" fillId="7" fontId="4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center" vertical="center"/>
    </xf>
    <xf borderId="4" fillId="4" fontId="20" numFmtId="0" xfId="0" applyAlignment="1" applyBorder="1" applyFont="1">
      <alignment horizontal="center" vertical="center"/>
    </xf>
    <xf borderId="1" fillId="8" fontId="19" numFmtId="0" xfId="0" applyAlignment="1" applyBorder="1" applyFill="1" applyFont="1">
      <alignment horizontal="center" readingOrder="0" vertical="center"/>
    </xf>
    <xf borderId="4" fillId="8" fontId="4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horizontal="center" vertical="center"/>
    </xf>
    <xf borderId="4" fillId="4" fontId="21" numFmtId="0" xfId="0" applyAlignment="1" applyBorder="1" applyFon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vertical="center"/>
    </xf>
    <xf borderId="1" fillId="9" fontId="19" numFmtId="0" xfId="0" applyAlignment="1" applyBorder="1" applyFill="1" applyFont="1">
      <alignment horizontal="center" readingOrder="0" vertical="center"/>
    </xf>
    <xf borderId="4" fillId="9" fontId="4" numFmtId="0" xfId="0" applyAlignment="1" applyBorder="1" applyFont="1">
      <alignment horizontal="center" shrinkToFit="0" vertical="center" wrapText="1"/>
    </xf>
    <xf borderId="4" fillId="6" fontId="23" numFmtId="0" xfId="0" applyAlignment="1" applyBorder="1" applyFont="1">
      <alignment horizontal="center" vertical="center"/>
    </xf>
    <xf borderId="4" fillId="4" fontId="23" numFmtId="0" xfId="0" applyAlignment="1" applyBorder="1" applyFont="1">
      <alignment horizontal="center" vertical="center"/>
    </xf>
    <xf borderId="4" fillId="4" fontId="24" numFmtId="0" xfId="0" applyAlignment="1" applyBorder="1" applyFont="1">
      <alignment horizontal="center" vertical="center"/>
    </xf>
    <xf borderId="4" fillId="6" fontId="2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left" vertical="center"/>
    </xf>
    <xf borderId="4" fillId="4" fontId="25" numFmtId="0" xfId="0" applyAlignment="1" applyBorder="1" applyFont="1">
      <alignment horizontal="center" vertical="center"/>
    </xf>
    <xf borderId="4" fillId="6" fontId="25" numFmtId="0" xfId="0" applyAlignment="1" applyBorder="1" applyFont="1">
      <alignment horizontal="center" vertical="center"/>
    </xf>
    <xf borderId="1" fillId="10" fontId="26" numFmtId="0" xfId="0" applyAlignment="1" applyBorder="1" applyFill="1" applyFont="1">
      <alignment horizontal="center" readingOrder="0" vertical="center"/>
    </xf>
    <xf borderId="4" fillId="10" fontId="4" numFmtId="0" xfId="0" applyAlignment="1" applyBorder="1" applyFont="1">
      <alignment horizontal="center" shrinkToFit="0" vertical="center" wrapText="1"/>
    </xf>
    <xf borderId="4" fillId="6" fontId="27" numFmtId="0" xfId="0" applyAlignment="1" applyBorder="1" applyFont="1">
      <alignment horizontal="center" vertical="center"/>
    </xf>
    <xf borderId="4" fillId="4" fontId="27" numFmtId="0" xfId="0" applyAlignment="1" applyBorder="1" applyFont="1">
      <alignment horizontal="center" vertical="center"/>
    </xf>
    <xf borderId="1" fillId="11" fontId="4" numFmtId="0" xfId="0" applyAlignment="1" applyBorder="1" applyFill="1" applyFont="1">
      <alignment horizontal="left" readingOrder="0" vertical="center"/>
    </xf>
    <xf borderId="4" fillId="11" fontId="4" numFmtId="0" xfId="0" applyAlignment="1" applyBorder="1" applyFont="1">
      <alignment horizontal="center" shrinkToFit="0" vertical="center" wrapText="1"/>
    </xf>
    <xf borderId="4" fillId="6" fontId="28" numFmtId="0" xfId="0" applyAlignment="1" applyBorder="1" applyFont="1">
      <alignment horizontal="center" vertical="center"/>
    </xf>
    <xf borderId="4" fillId="4" fontId="28" numFmtId="0" xfId="0" applyAlignment="1" applyBorder="1" applyFont="1">
      <alignment horizontal="center" vertical="center"/>
    </xf>
    <xf borderId="1" fillId="11" fontId="19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ont="1">
      <alignment horizontal="center" shrinkToFit="0" vertical="center" wrapText="1"/>
    </xf>
    <xf borderId="4" fillId="12" fontId="6" numFmtId="0" xfId="0" applyAlignment="1" applyBorder="1" applyFont="1">
      <alignment horizontal="left" shrinkToFit="0" vertical="center" wrapText="1"/>
    </xf>
    <xf borderId="4" fillId="12" fontId="5" numFmtId="0" xfId="0" applyAlignment="1" applyBorder="1" applyFont="1">
      <alignment horizontal="center" vertical="center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ont="1">
      <alignment horizontal="center" shrinkToFit="0" vertical="center" wrapText="1"/>
    </xf>
    <xf borderId="4" fillId="13" fontId="6" numFmtId="0" xfId="0" applyAlignment="1" applyBorder="1" applyFont="1">
      <alignment horizontal="left" shrinkToFit="0" vertical="center" wrapText="1"/>
    </xf>
    <xf borderId="4" fillId="13" fontId="5" numFmtId="0" xfId="0" applyAlignment="1" applyBorder="1" applyFont="1">
      <alignment horizontal="center" vertical="center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4" fillId="14" fontId="6" numFmtId="0" xfId="0" applyAlignment="1" applyBorder="1" applyFont="1">
      <alignment horizontal="left" shrinkToFit="0" vertical="center" wrapText="1"/>
    </xf>
    <xf borderId="4" fillId="14" fontId="5" numFmtId="0" xfId="0" applyAlignment="1" applyBorder="1" applyFont="1">
      <alignment horizontal="center" vertical="center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15" fontId="5" numFmtId="0" xfId="0" applyAlignment="1" applyBorder="1" applyFont="1">
      <alignment horizontal="center" vertical="center"/>
    </xf>
    <xf borderId="4" fillId="16" fontId="5" numFmtId="0" xfId="0" applyAlignment="1" applyBorder="1" applyFill="1" applyFont="1">
      <alignment horizontal="center" shrinkToFit="0" vertical="center" wrapText="1"/>
    </xf>
    <xf borderId="4" fillId="16" fontId="6" numFmtId="0" xfId="0" applyAlignment="1" applyBorder="1" applyFont="1">
      <alignment horizontal="center" shrinkToFit="0" vertical="center" wrapText="1"/>
    </xf>
    <xf borderId="4" fillId="16" fontId="6" numFmtId="0" xfId="0" applyAlignment="1" applyBorder="1" applyFont="1">
      <alignment horizontal="left" shrinkToFit="0" vertical="center" wrapText="1"/>
    </xf>
    <xf borderId="4" fillId="16" fontId="5" numFmtId="0" xfId="0" applyAlignment="1" applyBorder="1" applyFont="1">
      <alignment horizontal="center" vertical="center"/>
    </xf>
    <xf borderId="4" fillId="17" fontId="5" numFmtId="0" xfId="0" applyAlignment="1" applyBorder="1" applyFill="1" applyFont="1">
      <alignment horizontal="center" shrinkToFit="0" vertical="center" wrapText="1"/>
    </xf>
    <xf borderId="4" fillId="17" fontId="6" numFmtId="0" xfId="0" applyAlignment="1" applyBorder="1" applyFont="1">
      <alignment horizontal="center" shrinkToFit="0" vertical="center" wrapText="1"/>
    </xf>
    <xf borderId="4" fillId="17" fontId="6" numFmtId="0" xfId="0" applyAlignment="1" applyBorder="1" applyFont="1">
      <alignment horizontal="left" shrinkToFit="0" vertical="center" wrapText="1"/>
    </xf>
    <xf borderId="4" fillId="17" fontId="5" numFmtId="0" xfId="0" applyAlignment="1" applyBorder="1" applyFont="1">
      <alignment horizontal="center" vertical="center"/>
    </xf>
    <xf borderId="4" fillId="18" fontId="5" numFmtId="0" xfId="0" applyAlignment="1" applyBorder="1" applyFill="1" applyFont="1">
      <alignment horizontal="center" shrinkToFit="0" vertical="center" wrapText="1"/>
    </xf>
    <xf borderId="4" fillId="18" fontId="6" numFmtId="0" xfId="0" applyAlignment="1" applyBorder="1" applyFont="1">
      <alignment horizontal="center" shrinkToFit="0" vertical="center" wrapText="1"/>
    </xf>
    <xf borderId="4" fillId="18" fontId="6" numFmtId="0" xfId="0" applyAlignment="1" applyBorder="1" applyFont="1">
      <alignment horizontal="left" shrinkToFit="0" vertical="center" wrapText="1"/>
    </xf>
    <xf borderId="4" fillId="18" fontId="5" numFmtId="0" xfId="0" applyAlignment="1" applyBorder="1" applyFont="1">
      <alignment horizontal="center" vertical="center"/>
    </xf>
    <xf borderId="0" fillId="0" fontId="29" numFmtId="0" xfId="0" applyFont="1"/>
    <xf borderId="1" fillId="3" fontId="7" numFmtId="0" xfId="0" applyAlignment="1" applyBorder="1" applyFont="1">
      <alignment horizontal="center" readingOrder="0" vertical="center"/>
    </xf>
    <xf borderId="4" fillId="3" fontId="30" numFmtId="0" xfId="0" applyAlignment="1" applyBorder="1" applyFont="1">
      <alignment horizontal="center" shrinkToFit="0" vertical="center" wrapText="1"/>
    </xf>
    <xf borderId="4" fillId="4" fontId="31" numFmtId="0" xfId="0" applyAlignment="1" applyBorder="1" applyFont="1">
      <alignment horizontal="left" shrinkToFit="0" vertical="center" wrapText="1"/>
    </xf>
    <xf borderId="4" fillId="6" fontId="31" numFmtId="0" xfId="0" applyAlignment="1" applyBorder="1" applyFont="1">
      <alignment horizontal="left" shrinkToFit="0" vertical="center" wrapText="1"/>
    </xf>
    <xf borderId="1" fillId="19" fontId="7" numFmtId="0" xfId="0" applyAlignment="1" applyBorder="1" applyFill="1" applyFont="1">
      <alignment horizontal="center" readingOrder="0" vertical="center"/>
    </xf>
    <xf borderId="4" fillId="19" fontId="30" numFmtId="0" xfId="0" applyAlignment="1" applyBorder="1" applyFont="1">
      <alignment horizontal="center" shrinkToFit="0" vertical="center" wrapText="1"/>
    </xf>
    <xf borderId="4" fillId="4" fontId="32" numFmtId="0" xfId="0" applyAlignment="1" applyBorder="1" applyFont="1">
      <alignment horizontal="center" vertical="center"/>
    </xf>
    <xf borderId="4" fillId="4" fontId="32" numFmtId="0" xfId="0" applyAlignment="1" applyBorder="1" applyFont="1">
      <alignment horizontal="left" shrinkToFit="0" vertical="center" wrapText="1"/>
    </xf>
    <xf borderId="4" fillId="6" fontId="32" numFmtId="0" xfId="0" applyAlignment="1" applyBorder="1" applyFont="1">
      <alignment horizontal="center" vertical="center"/>
    </xf>
    <xf borderId="4" fillId="6" fontId="32" numFmtId="0" xfId="0" applyAlignment="1" applyBorder="1" applyFont="1">
      <alignment horizontal="left" shrinkToFit="0" vertical="center" wrapText="1"/>
    </xf>
    <xf borderId="4" fillId="4" fontId="31" numFmtId="0" xfId="0" applyAlignment="1" applyBorder="1" applyFont="1">
      <alignment horizontal="left" vertical="center"/>
    </xf>
    <xf borderId="4" fillId="6" fontId="3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4.29"/>
    <col customWidth="1" min="3" max="3" width="40.0"/>
    <col customWidth="1" min="4" max="5" width="20.0"/>
    <col customWidth="1" min="6" max="6" width="0.43"/>
    <col customWidth="1" min="7" max="26" width="8.71"/>
  </cols>
  <sheetData>
    <row r="1" ht="9.75" customHeight="1"/>
    <row r="2" ht="49.5" customHeight="1">
      <c r="B2" s="1" t="s">
        <v>0</v>
      </c>
      <c r="C2" s="2"/>
      <c r="D2" s="2"/>
      <c r="E2" s="2"/>
      <c r="F2" s="3"/>
    </row>
    <row r="3" ht="30.0" customHeight="1">
      <c r="B3" s="4" t="s">
        <v>1</v>
      </c>
      <c r="C3" s="2"/>
      <c r="D3" s="2"/>
      <c r="E3" s="2"/>
      <c r="F3" s="3"/>
    </row>
    <row r="5" ht="21.75" customHeight="1">
      <c r="B5" s="5" t="s">
        <v>2</v>
      </c>
      <c r="C5" s="2"/>
      <c r="D5" s="2"/>
      <c r="E5" s="2"/>
      <c r="F5" s="3"/>
    </row>
    <row r="6" ht="19.5" customHeight="1">
      <c r="B6" s="6" t="s">
        <v>3</v>
      </c>
      <c r="C6" s="7"/>
      <c r="D6" s="8"/>
      <c r="E6" s="8"/>
      <c r="F6" s="9"/>
    </row>
    <row r="7" ht="19.5" customHeight="1">
      <c r="B7" s="10" t="s">
        <v>4</v>
      </c>
      <c r="C7" s="7"/>
      <c r="D7" s="8"/>
      <c r="E7" s="8"/>
      <c r="F7" s="9"/>
    </row>
    <row r="8" ht="19.5" customHeight="1">
      <c r="B8" s="6" t="s">
        <v>5</v>
      </c>
      <c r="C8" s="7"/>
      <c r="D8" s="8"/>
      <c r="E8" s="8"/>
      <c r="F8" s="9"/>
    </row>
    <row r="9" ht="19.5" customHeight="1">
      <c r="B9" s="10" t="s">
        <v>6</v>
      </c>
      <c r="C9" s="7" t="s">
        <v>7</v>
      </c>
      <c r="D9" s="8"/>
      <c r="E9" s="8"/>
      <c r="F9" s="9"/>
    </row>
    <row r="10" ht="19.5" customHeight="1">
      <c r="B10" s="6" t="s">
        <v>8</v>
      </c>
      <c r="C10" s="7"/>
      <c r="D10" s="8"/>
      <c r="E10" s="8"/>
      <c r="F10" s="9"/>
    </row>
    <row r="11" ht="19.5" customHeight="1">
      <c r="B11" s="10" t="s">
        <v>9</v>
      </c>
      <c r="C11" s="7" t="s">
        <v>10</v>
      </c>
      <c r="D11" s="8"/>
      <c r="E11" s="8"/>
      <c r="F11" s="9"/>
    </row>
    <row r="12" ht="19.5" customHeight="1">
      <c r="B12" s="6" t="s">
        <v>11</v>
      </c>
      <c r="C12" s="7" t="str">
        <f>IF(D11="","",D10*D11/100)</f>
        <v/>
      </c>
      <c r="D12" s="8"/>
      <c r="E12" s="8"/>
      <c r="F12" s="9"/>
    </row>
    <row r="13" ht="19.5" customHeight="1">
      <c r="B13" s="10" t="s">
        <v>12</v>
      </c>
      <c r="C13" s="7" t="s">
        <v>13</v>
      </c>
      <c r="D13" s="8"/>
      <c r="E13" s="8"/>
      <c r="F13" s="9"/>
    </row>
    <row r="14" ht="19.5" customHeight="1">
      <c r="B14" s="6" t="s">
        <v>14</v>
      </c>
      <c r="C14" s="7"/>
      <c r="D14" s="8"/>
      <c r="E14" s="8"/>
      <c r="F14" s="9"/>
    </row>
    <row r="15" ht="19.5" customHeight="1">
      <c r="B15" s="10" t="s">
        <v>15</v>
      </c>
      <c r="C15" s="7"/>
      <c r="D15" s="8"/>
      <c r="E15" s="8"/>
      <c r="F15" s="9"/>
    </row>
    <row r="16" ht="19.5" customHeight="1">
      <c r="B16" s="6" t="s">
        <v>16</v>
      </c>
      <c r="C16" s="7"/>
      <c r="D16" s="8"/>
      <c r="E16" s="8"/>
      <c r="F16" s="9"/>
    </row>
    <row r="17" ht="19.5" customHeight="1">
      <c r="B17" s="10" t="s">
        <v>17</v>
      </c>
      <c r="C17" s="7"/>
      <c r="D17" s="8"/>
      <c r="E17" s="8"/>
      <c r="F17" s="9"/>
    </row>
    <row r="18" ht="19.5" customHeight="1">
      <c r="B18" s="6" t="s">
        <v>18</v>
      </c>
      <c r="C18" s="7"/>
      <c r="D18" s="8"/>
      <c r="E18" s="8"/>
      <c r="F18" s="9"/>
    </row>
    <row r="19" ht="19.5" customHeight="1">
      <c r="B19" s="10" t="s">
        <v>19</v>
      </c>
      <c r="C19" s="7"/>
      <c r="D19" s="8"/>
      <c r="E19" s="8"/>
      <c r="F19" s="9"/>
    </row>
    <row r="20" ht="19.5" customHeight="1">
      <c r="B20" s="6" t="s">
        <v>20</v>
      </c>
      <c r="C20" s="7"/>
      <c r="D20" s="8"/>
      <c r="E20" s="8"/>
      <c r="F20" s="9"/>
    </row>
    <row r="21" ht="15.75" customHeight="1"/>
    <row r="22" ht="15.75" customHeight="1"/>
    <row r="23" ht="21.75" customHeight="1">
      <c r="B23" s="11" t="s">
        <v>21</v>
      </c>
      <c r="C23" s="2"/>
      <c r="D23" s="2"/>
      <c r="E23" s="2"/>
      <c r="F23" s="3"/>
    </row>
    <row r="24" ht="18.0" customHeight="1">
      <c r="B24" s="12" t="s">
        <v>22</v>
      </c>
      <c r="C24" s="13" t="s">
        <v>23</v>
      </c>
      <c r="D24" s="8"/>
      <c r="E24" s="8"/>
      <c r="F24" s="9"/>
    </row>
    <row r="25" ht="18.0" customHeight="1">
      <c r="B25" s="14" t="s">
        <v>24</v>
      </c>
      <c r="C25" s="15" t="s">
        <v>25</v>
      </c>
    </row>
    <row r="26" ht="18.0" customHeight="1">
      <c r="B26" s="12" t="s">
        <v>26</v>
      </c>
      <c r="C26" s="13" t="s">
        <v>27</v>
      </c>
      <c r="D26" s="8"/>
      <c r="E26" s="8"/>
      <c r="F26" s="9"/>
    </row>
    <row r="27" ht="18.0" customHeight="1">
      <c r="B27" s="14" t="s">
        <v>28</v>
      </c>
      <c r="C27" s="16" t="s">
        <v>29</v>
      </c>
      <c r="D27" s="8"/>
      <c r="E27" s="8"/>
      <c r="F27" s="9"/>
    </row>
    <row r="28" ht="18.0" customHeight="1">
      <c r="B28" s="12" t="s">
        <v>30</v>
      </c>
      <c r="C28" s="13" t="s">
        <v>31</v>
      </c>
      <c r="D28" s="8"/>
      <c r="E28" s="8"/>
      <c r="F28" s="9"/>
    </row>
    <row r="29" ht="18.0" customHeight="1">
      <c r="B29" s="14" t="s">
        <v>32</v>
      </c>
      <c r="C29" s="16" t="s">
        <v>33</v>
      </c>
      <c r="D29" s="8"/>
      <c r="E29" s="8"/>
      <c r="F29" s="9"/>
    </row>
    <row r="30" ht="18.0" customHeight="1">
      <c r="B30" s="12" t="s">
        <v>34</v>
      </c>
      <c r="C30" s="13" t="s">
        <v>35</v>
      </c>
      <c r="D30" s="8"/>
      <c r="E30" s="8"/>
      <c r="F30" s="9"/>
    </row>
    <row r="31" ht="18.0" customHeight="1">
      <c r="B31" s="14" t="s">
        <v>36</v>
      </c>
      <c r="C31" s="16" t="s">
        <v>37</v>
      </c>
      <c r="D31" s="8"/>
      <c r="E31" s="8"/>
      <c r="F31" s="9"/>
    </row>
    <row r="32" ht="18.0" customHeight="1">
      <c r="B32" s="12" t="s">
        <v>38</v>
      </c>
      <c r="C32" s="13" t="s">
        <v>39</v>
      </c>
      <c r="D32" s="8"/>
      <c r="E32" s="8"/>
      <c r="F32" s="9"/>
    </row>
    <row r="33" ht="18.0" customHeight="1">
      <c r="B33" s="14" t="s">
        <v>40</v>
      </c>
      <c r="C33" s="16" t="s">
        <v>41</v>
      </c>
      <c r="D33" s="8"/>
      <c r="E33" s="8"/>
      <c r="F33" s="9"/>
    </row>
    <row r="34" ht="18.0" customHeight="1">
      <c r="B34" s="12" t="s">
        <v>42</v>
      </c>
      <c r="C34" s="13" t="s">
        <v>43</v>
      </c>
      <c r="D34" s="8"/>
      <c r="E34" s="8"/>
      <c r="F34" s="9"/>
    </row>
    <row r="35" ht="18.0" customHeight="1">
      <c r="B35" s="14" t="s">
        <v>44</v>
      </c>
      <c r="C35" s="16" t="s">
        <v>45</v>
      </c>
      <c r="D35" s="8"/>
      <c r="E35" s="8"/>
      <c r="F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C45" s="1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:F2"/>
    <mergeCell ref="B3:F3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B23:F23"/>
    <mergeCell ref="C24:F24"/>
    <mergeCell ref="E25:F25"/>
    <mergeCell ref="C33:F33"/>
    <mergeCell ref="C34:F34"/>
    <mergeCell ref="C35:F35"/>
    <mergeCell ref="C26:F26"/>
    <mergeCell ref="C27:F27"/>
    <mergeCell ref="C28:F28"/>
    <mergeCell ref="C29:F29"/>
    <mergeCell ref="C30:F30"/>
    <mergeCell ref="C31:F31"/>
    <mergeCell ref="C32:F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0.43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/>
    <row r="2" ht="45.0" customHeight="1">
      <c r="B2" s="18" t="s">
        <v>46</v>
      </c>
      <c r="C2" s="2"/>
      <c r="D2" s="2"/>
      <c r="E2" s="2"/>
      <c r="F2" s="2"/>
      <c r="G2" s="2"/>
      <c r="H2" s="2"/>
      <c r="I2" s="3"/>
    </row>
    <row r="3" ht="21.75" customHeight="1">
      <c r="B3" s="19" t="str">
        <f>COUNTIF(G5:G52,"✅ OK")&amp;" de 33 itens concluídos  |  "&amp;COUNTIF(G5:G52,"❌ Pendente")&amp;" pendentes  |  "&amp;COUNTIF(G5:G52,"⚠️ Atenção")&amp;" com atenção"</f>
        <v>0 de 33 itens concluídos  |  33 pendentes  |  0 com atenção</v>
      </c>
      <c r="C3" s="2"/>
      <c r="D3" s="2"/>
      <c r="E3" s="2"/>
      <c r="F3" s="2"/>
      <c r="G3" s="2"/>
      <c r="H3" s="2"/>
      <c r="I3" s="3"/>
    </row>
    <row r="4" ht="24.0" customHeight="1">
      <c r="B4" s="20"/>
      <c r="C4" s="21" t="s">
        <v>47</v>
      </c>
      <c r="D4" s="21" t="s">
        <v>48</v>
      </c>
      <c r="E4" s="21" t="s">
        <v>49</v>
      </c>
      <c r="F4" s="21" t="s">
        <v>50</v>
      </c>
      <c r="G4" s="21" t="s">
        <v>51</v>
      </c>
      <c r="H4" s="21" t="s">
        <v>52</v>
      </c>
      <c r="I4" s="21" t="s">
        <v>53</v>
      </c>
    </row>
    <row r="5" ht="21.75" customHeight="1">
      <c r="B5" s="20"/>
      <c r="C5" s="5" t="s">
        <v>54</v>
      </c>
      <c r="D5" s="2"/>
      <c r="E5" s="2"/>
      <c r="F5" s="2"/>
      <c r="G5" s="2"/>
      <c r="H5" s="2"/>
      <c r="I5" s="3"/>
    </row>
    <row r="6" ht="39.75" customHeight="1">
      <c r="B6" s="20"/>
      <c r="C6" s="22">
        <v>1.0</v>
      </c>
      <c r="D6" s="23" t="s">
        <v>55</v>
      </c>
      <c r="E6" s="24" t="s">
        <v>56</v>
      </c>
      <c r="F6" s="25" t="s">
        <v>57</v>
      </c>
      <c r="G6" s="26" t="s">
        <v>58</v>
      </c>
      <c r="H6" s="27"/>
      <c r="I6" s="28" t="s">
        <v>59</v>
      </c>
    </row>
    <row r="7" ht="39.75" customHeight="1">
      <c r="B7" s="20"/>
      <c r="C7" s="29">
        <v>2.0</v>
      </c>
      <c r="D7" s="30" t="s">
        <v>60</v>
      </c>
      <c r="E7" s="31" t="s">
        <v>61</v>
      </c>
      <c r="F7" s="32" t="s">
        <v>57</v>
      </c>
      <c r="G7" s="33" t="s">
        <v>58</v>
      </c>
      <c r="H7" s="34"/>
      <c r="I7" s="35" t="s">
        <v>62</v>
      </c>
    </row>
    <row r="8" ht="39.75" customHeight="1">
      <c r="B8" s="20"/>
      <c r="C8" s="22">
        <v>3.0</v>
      </c>
      <c r="D8" s="23" t="s">
        <v>63</v>
      </c>
      <c r="E8" s="24" t="s">
        <v>64</v>
      </c>
      <c r="F8" s="25" t="s">
        <v>65</v>
      </c>
      <c r="G8" s="26" t="s">
        <v>58</v>
      </c>
      <c r="H8" s="27"/>
      <c r="I8" s="28"/>
    </row>
    <row r="9" ht="39.75" customHeight="1">
      <c r="B9" s="20"/>
      <c r="C9" s="29">
        <v>4.0</v>
      </c>
      <c r="D9" s="30" t="s">
        <v>66</v>
      </c>
      <c r="E9" s="31" t="s">
        <v>67</v>
      </c>
      <c r="F9" s="32" t="s">
        <v>68</v>
      </c>
      <c r="G9" s="33" t="s">
        <v>58</v>
      </c>
      <c r="H9" s="34"/>
      <c r="I9" s="35" t="s">
        <v>69</v>
      </c>
    </row>
    <row r="10" ht="39.75" customHeight="1">
      <c r="B10" s="20"/>
      <c r="C10" s="22">
        <v>5.0</v>
      </c>
      <c r="D10" s="23" t="s">
        <v>70</v>
      </c>
      <c r="E10" s="24" t="s">
        <v>71</v>
      </c>
      <c r="F10" s="25" t="s">
        <v>65</v>
      </c>
      <c r="G10" s="26" t="s">
        <v>58</v>
      </c>
      <c r="H10" s="27"/>
      <c r="I10" s="28" t="s">
        <v>72</v>
      </c>
    </row>
    <row r="11" ht="39.75" customHeight="1">
      <c r="B11" s="20"/>
      <c r="C11" s="29">
        <v>6.0</v>
      </c>
      <c r="D11" s="30" t="s">
        <v>73</v>
      </c>
      <c r="E11" s="31" t="s">
        <v>74</v>
      </c>
      <c r="F11" s="32" t="s">
        <v>75</v>
      </c>
      <c r="G11" s="33" t="s">
        <v>58</v>
      </c>
      <c r="H11" s="34"/>
      <c r="I11" s="35"/>
    </row>
    <row r="13" ht="21.75" customHeight="1">
      <c r="C13" s="11" t="s">
        <v>76</v>
      </c>
      <c r="D13" s="2"/>
      <c r="E13" s="2"/>
      <c r="F13" s="2"/>
      <c r="G13" s="2"/>
      <c r="H13" s="2"/>
      <c r="I13" s="3"/>
    </row>
    <row r="14" ht="39.75" customHeight="1">
      <c r="C14" s="36">
        <v>7.0</v>
      </c>
      <c r="D14" s="37" t="s">
        <v>77</v>
      </c>
      <c r="E14" s="38" t="s">
        <v>78</v>
      </c>
      <c r="F14" s="39" t="s">
        <v>79</v>
      </c>
      <c r="G14" s="40" t="s">
        <v>58</v>
      </c>
      <c r="H14" s="41"/>
      <c r="I14" s="42" t="s">
        <v>80</v>
      </c>
    </row>
    <row r="15" ht="39.75" customHeight="1">
      <c r="C15" s="43">
        <v>8.0</v>
      </c>
      <c r="D15" s="44" t="s">
        <v>81</v>
      </c>
      <c r="E15" s="45" t="s">
        <v>82</v>
      </c>
      <c r="F15" s="46" t="s">
        <v>83</v>
      </c>
      <c r="G15" s="47" t="s">
        <v>58</v>
      </c>
      <c r="H15" s="48"/>
      <c r="I15" s="49"/>
    </row>
    <row r="16" ht="39.75" customHeight="1">
      <c r="C16" s="36">
        <v>9.0</v>
      </c>
      <c r="D16" s="37" t="s">
        <v>84</v>
      </c>
      <c r="E16" s="38" t="s">
        <v>85</v>
      </c>
      <c r="F16" s="39" t="s">
        <v>68</v>
      </c>
      <c r="G16" s="40" t="s">
        <v>58</v>
      </c>
      <c r="H16" s="41"/>
      <c r="I16" s="42"/>
    </row>
    <row r="17" ht="39.75" customHeight="1">
      <c r="C17" s="43">
        <v>10.0</v>
      </c>
      <c r="D17" s="44" t="s">
        <v>86</v>
      </c>
      <c r="E17" s="45" t="s">
        <v>87</v>
      </c>
      <c r="F17" s="46" t="s">
        <v>57</v>
      </c>
      <c r="G17" s="47" t="s">
        <v>58</v>
      </c>
      <c r="H17" s="48"/>
      <c r="I17" s="49" t="s">
        <v>88</v>
      </c>
    </row>
    <row r="18" ht="39.75" customHeight="1">
      <c r="C18" s="36">
        <v>11.0</v>
      </c>
      <c r="D18" s="37" t="s">
        <v>89</v>
      </c>
      <c r="E18" s="38" t="s">
        <v>90</v>
      </c>
      <c r="F18" s="39" t="s">
        <v>79</v>
      </c>
      <c r="G18" s="40" t="s">
        <v>58</v>
      </c>
      <c r="H18" s="41"/>
      <c r="I18" s="42"/>
    </row>
    <row r="19" ht="39.75" customHeight="1">
      <c r="C19" s="43">
        <v>12.0</v>
      </c>
      <c r="D19" s="44" t="s">
        <v>91</v>
      </c>
      <c r="E19" s="45" t="s">
        <v>92</v>
      </c>
      <c r="F19" s="46" t="s">
        <v>79</v>
      </c>
      <c r="G19" s="47" t="s">
        <v>58</v>
      </c>
      <c r="H19" s="48"/>
      <c r="I19" s="49" t="s">
        <v>93</v>
      </c>
    </row>
    <row r="20" ht="39.75" customHeight="1">
      <c r="C20" s="36">
        <v>13.0</v>
      </c>
      <c r="D20" s="37" t="s">
        <v>94</v>
      </c>
      <c r="E20" s="38" t="s">
        <v>95</v>
      </c>
      <c r="F20" s="39" t="s">
        <v>57</v>
      </c>
      <c r="G20" s="40" t="s">
        <v>58</v>
      </c>
      <c r="H20" s="41"/>
      <c r="I20" s="42"/>
    </row>
    <row r="21" ht="15.75" customHeight="1"/>
    <row r="22" ht="21.75" customHeight="1">
      <c r="C22" s="11" t="s">
        <v>96</v>
      </c>
      <c r="D22" s="2"/>
      <c r="E22" s="2"/>
      <c r="F22" s="2"/>
      <c r="G22" s="2"/>
      <c r="H22" s="2"/>
      <c r="I22" s="3"/>
    </row>
    <row r="23" ht="39.75" customHeight="1">
      <c r="C23" s="43">
        <v>14.0</v>
      </c>
      <c r="D23" s="44" t="s">
        <v>97</v>
      </c>
      <c r="E23" s="45" t="s">
        <v>98</v>
      </c>
      <c r="F23" s="46" t="s">
        <v>79</v>
      </c>
      <c r="G23" s="47" t="s">
        <v>58</v>
      </c>
      <c r="H23" s="48"/>
      <c r="I23" s="49" t="s">
        <v>99</v>
      </c>
    </row>
    <row r="24" ht="39.75" customHeight="1">
      <c r="C24" s="36">
        <v>15.0</v>
      </c>
      <c r="D24" s="37" t="s">
        <v>100</v>
      </c>
      <c r="E24" s="38" t="s">
        <v>101</v>
      </c>
      <c r="F24" s="39" t="s">
        <v>65</v>
      </c>
      <c r="G24" s="40" t="s">
        <v>58</v>
      </c>
      <c r="H24" s="41"/>
      <c r="I24" s="42" t="s">
        <v>102</v>
      </c>
    </row>
    <row r="25" ht="15.75" customHeight="1"/>
    <row r="26" ht="21.75" customHeight="1">
      <c r="C26" s="11" t="s">
        <v>103</v>
      </c>
      <c r="D26" s="2"/>
      <c r="E26" s="2"/>
      <c r="F26" s="2"/>
      <c r="G26" s="2"/>
      <c r="H26" s="2"/>
      <c r="I26" s="3"/>
    </row>
    <row r="27" ht="39.75" customHeight="1">
      <c r="C27" s="43">
        <v>16.0</v>
      </c>
      <c r="D27" s="44" t="s">
        <v>104</v>
      </c>
      <c r="E27" s="45" t="s">
        <v>105</v>
      </c>
      <c r="F27" s="46" t="s">
        <v>79</v>
      </c>
      <c r="G27" s="47" t="s">
        <v>58</v>
      </c>
      <c r="H27" s="48"/>
      <c r="I27" s="49" t="s">
        <v>106</v>
      </c>
    </row>
    <row r="28" ht="39.75" customHeight="1">
      <c r="C28" s="36">
        <v>17.0</v>
      </c>
      <c r="D28" s="37" t="s">
        <v>107</v>
      </c>
      <c r="E28" s="38" t="s">
        <v>108</v>
      </c>
      <c r="F28" s="39" t="s">
        <v>79</v>
      </c>
      <c r="G28" s="40" t="s">
        <v>58</v>
      </c>
      <c r="H28" s="41"/>
      <c r="I28" s="42"/>
    </row>
    <row r="29" ht="39.75" customHeight="1">
      <c r="C29" s="43">
        <v>18.0</v>
      </c>
      <c r="D29" s="44" t="s">
        <v>109</v>
      </c>
      <c r="E29" s="45" t="s">
        <v>110</v>
      </c>
      <c r="F29" s="46" t="s">
        <v>79</v>
      </c>
      <c r="G29" s="47" t="s">
        <v>58</v>
      </c>
      <c r="H29" s="48"/>
      <c r="I29" s="49"/>
    </row>
    <row r="30" ht="39.75" customHeight="1">
      <c r="C30" s="36">
        <v>19.0</v>
      </c>
      <c r="D30" s="37" t="s">
        <v>111</v>
      </c>
      <c r="E30" s="38" t="s">
        <v>112</v>
      </c>
      <c r="F30" s="39" t="s">
        <v>79</v>
      </c>
      <c r="G30" s="40" t="s">
        <v>58</v>
      </c>
      <c r="H30" s="41"/>
      <c r="I30" s="42"/>
    </row>
    <row r="31" ht="15.75" customHeight="1"/>
    <row r="32" ht="21.75" customHeight="1">
      <c r="C32" s="11" t="s">
        <v>113</v>
      </c>
      <c r="D32" s="2"/>
      <c r="E32" s="2"/>
      <c r="F32" s="2"/>
      <c r="G32" s="2"/>
      <c r="H32" s="2"/>
      <c r="I32" s="3"/>
    </row>
    <row r="33" ht="39.75" customHeight="1">
      <c r="C33" s="43">
        <v>20.0</v>
      </c>
      <c r="D33" s="44" t="s">
        <v>114</v>
      </c>
      <c r="E33" s="45" t="s">
        <v>115</v>
      </c>
      <c r="F33" s="46" t="s">
        <v>79</v>
      </c>
      <c r="G33" s="47" t="s">
        <v>58</v>
      </c>
      <c r="H33" s="48"/>
      <c r="I33" s="49" t="s">
        <v>116</v>
      </c>
    </row>
    <row r="34" ht="39.75" customHeight="1">
      <c r="C34" s="36">
        <v>21.0</v>
      </c>
      <c r="D34" s="37" t="s">
        <v>117</v>
      </c>
      <c r="E34" s="38" t="s">
        <v>118</v>
      </c>
      <c r="F34" s="39" t="s">
        <v>119</v>
      </c>
      <c r="G34" s="40" t="s">
        <v>58</v>
      </c>
      <c r="H34" s="41"/>
      <c r="I34" s="42"/>
    </row>
    <row r="35" ht="39.75" customHeight="1">
      <c r="C35" s="43">
        <v>22.0</v>
      </c>
      <c r="D35" s="44" t="s">
        <v>120</v>
      </c>
      <c r="E35" s="45" t="s">
        <v>121</v>
      </c>
      <c r="F35" s="46" t="s">
        <v>119</v>
      </c>
      <c r="G35" s="47" t="s">
        <v>58</v>
      </c>
      <c r="H35" s="48"/>
      <c r="I35" s="49"/>
    </row>
    <row r="36" ht="39.75" customHeight="1">
      <c r="C36" s="36">
        <v>23.0</v>
      </c>
      <c r="D36" s="37" t="s">
        <v>122</v>
      </c>
      <c r="E36" s="38" t="s">
        <v>123</v>
      </c>
      <c r="F36" s="39" t="s">
        <v>124</v>
      </c>
      <c r="G36" s="40" t="s">
        <v>58</v>
      </c>
      <c r="H36" s="41"/>
      <c r="I36" s="42"/>
    </row>
    <row r="37" ht="15.75" customHeight="1"/>
    <row r="38" ht="21.75" customHeight="1">
      <c r="C38" s="11" t="s">
        <v>125</v>
      </c>
      <c r="D38" s="2"/>
      <c r="E38" s="2"/>
      <c r="F38" s="2"/>
      <c r="G38" s="2"/>
      <c r="H38" s="2"/>
      <c r="I38" s="3"/>
    </row>
    <row r="39" ht="39.75" customHeight="1">
      <c r="C39" s="43">
        <v>24.0</v>
      </c>
      <c r="D39" s="44" t="s">
        <v>126</v>
      </c>
      <c r="E39" s="45" t="s">
        <v>127</v>
      </c>
      <c r="F39" s="46" t="s">
        <v>79</v>
      </c>
      <c r="G39" s="47" t="s">
        <v>58</v>
      </c>
      <c r="H39" s="48"/>
      <c r="I39" s="49"/>
    </row>
    <row r="40" ht="39.75" customHeight="1">
      <c r="C40" s="36">
        <v>25.0</v>
      </c>
      <c r="D40" s="37" t="s">
        <v>128</v>
      </c>
      <c r="E40" s="38" t="s">
        <v>129</v>
      </c>
      <c r="F40" s="39" t="s">
        <v>79</v>
      </c>
      <c r="G40" s="40" t="s">
        <v>58</v>
      </c>
      <c r="H40" s="41"/>
      <c r="I40" s="42"/>
    </row>
    <row r="41" ht="39.75" customHeight="1">
      <c r="C41" s="43">
        <v>26.0</v>
      </c>
      <c r="D41" s="44" t="s">
        <v>130</v>
      </c>
      <c r="E41" s="45" t="s">
        <v>131</v>
      </c>
      <c r="F41" s="46" t="s">
        <v>79</v>
      </c>
      <c r="G41" s="47" t="s">
        <v>58</v>
      </c>
      <c r="H41" s="48"/>
      <c r="I41" s="49"/>
    </row>
    <row r="42" ht="39.75" customHeight="1">
      <c r="C42" s="36">
        <v>27.0</v>
      </c>
      <c r="D42" s="37" t="s">
        <v>132</v>
      </c>
      <c r="E42" s="38" t="s">
        <v>133</v>
      </c>
      <c r="F42" s="39" t="s">
        <v>134</v>
      </c>
      <c r="G42" s="40" t="s">
        <v>58</v>
      </c>
      <c r="H42" s="41"/>
      <c r="I42" s="42"/>
    </row>
    <row r="43" ht="39.75" customHeight="1">
      <c r="C43" s="43">
        <v>28.0</v>
      </c>
      <c r="D43" s="44" t="s">
        <v>135</v>
      </c>
      <c r="E43" s="45" t="s">
        <v>136</v>
      </c>
      <c r="F43" s="46" t="s">
        <v>65</v>
      </c>
      <c r="G43" s="47" t="s">
        <v>58</v>
      </c>
      <c r="H43" s="48"/>
      <c r="I43" s="49"/>
    </row>
    <row r="44" ht="39.75" customHeight="1">
      <c r="C44" s="36">
        <v>29.0</v>
      </c>
      <c r="D44" s="37" t="s">
        <v>137</v>
      </c>
      <c r="E44" s="38" t="s">
        <v>138</v>
      </c>
      <c r="F44" s="39" t="s">
        <v>139</v>
      </c>
      <c r="G44" s="40" t="s">
        <v>58</v>
      </c>
      <c r="H44" s="41"/>
      <c r="I44" s="42"/>
    </row>
    <row r="45" ht="15.75" customHeight="1"/>
    <row r="46" ht="21.75" customHeight="1">
      <c r="C46" s="11" t="s">
        <v>140</v>
      </c>
      <c r="D46" s="2"/>
      <c r="E46" s="2"/>
      <c r="F46" s="2"/>
      <c r="G46" s="2"/>
      <c r="H46" s="2"/>
      <c r="I46" s="3"/>
    </row>
    <row r="47" ht="39.75" customHeight="1">
      <c r="C47" s="43">
        <v>30.0</v>
      </c>
      <c r="D47" s="44" t="s">
        <v>141</v>
      </c>
      <c r="E47" s="45" t="s">
        <v>142</v>
      </c>
      <c r="F47" s="46" t="s">
        <v>143</v>
      </c>
      <c r="G47" s="47" t="s">
        <v>58</v>
      </c>
      <c r="H47" s="48"/>
      <c r="I47" s="49"/>
    </row>
    <row r="48" ht="39.75" customHeight="1">
      <c r="C48" s="36">
        <v>31.0</v>
      </c>
      <c r="D48" s="37" t="s">
        <v>144</v>
      </c>
      <c r="E48" s="38" t="s">
        <v>145</v>
      </c>
      <c r="F48" s="39" t="s">
        <v>146</v>
      </c>
      <c r="G48" s="40" t="s">
        <v>58</v>
      </c>
      <c r="H48" s="41"/>
      <c r="I48" s="42"/>
    </row>
    <row r="49" ht="39.75" customHeight="1">
      <c r="C49" s="43">
        <v>32.0</v>
      </c>
      <c r="D49" s="44" t="s">
        <v>147</v>
      </c>
      <c r="E49" s="45" t="s">
        <v>148</v>
      </c>
      <c r="F49" s="46" t="s">
        <v>149</v>
      </c>
      <c r="G49" s="47" t="s">
        <v>58</v>
      </c>
      <c r="H49" s="48"/>
      <c r="I49" s="49"/>
    </row>
    <row r="50" ht="39.75" customHeight="1">
      <c r="C50" s="36">
        <v>33.0</v>
      </c>
      <c r="D50" s="37" t="s">
        <v>150</v>
      </c>
      <c r="E50" s="38" t="s">
        <v>151</v>
      </c>
      <c r="F50" s="39" t="s">
        <v>79</v>
      </c>
      <c r="G50" s="40" t="s">
        <v>58</v>
      </c>
      <c r="H50" s="41"/>
      <c r="I50" s="4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8:I38"/>
    <mergeCell ref="C46:I46"/>
    <mergeCell ref="B2:I2"/>
    <mergeCell ref="B3:I3"/>
    <mergeCell ref="C5:I5"/>
    <mergeCell ref="C13:I13"/>
    <mergeCell ref="C22:I22"/>
    <mergeCell ref="C26:I26"/>
    <mergeCell ref="C32:I32"/>
  </mergeCells>
  <dataValidations>
    <dataValidation type="list" allowBlank="1" sqref="G6:G11 G14:G20 G23:G24 G27:G30 G33:G36 G39:G44 G47:G50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1.29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45.0" customHeight="1">
      <c r="A2" s="20"/>
      <c r="B2" s="50" t="s">
        <v>152</v>
      </c>
      <c r="C2" s="2"/>
      <c r="D2" s="2"/>
      <c r="E2" s="2"/>
      <c r="F2" s="2"/>
      <c r="G2" s="2"/>
      <c r="H2" s="2"/>
      <c r="I2" s="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20"/>
      <c r="B3" s="19" t="str">
        <f>COUNTIF(G5:G39,"✅ OK")&amp;" de 26 itens concluídos  |  "&amp;COUNTIF(G5:G39,"❌ Pendente")&amp;" pendentes  |  "&amp;COUNTIF(G5:G39,"⚠️ Atenção")&amp;" com atenção"</f>
        <v>0 de 26 itens concluídos  |  26 pendentes  |  0 com atenção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0" customHeight="1">
      <c r="A4" s="20"/>
      <c r="B4" s="20"/>
      <c r="C4" s="21" t="s">
        <v>47</v>
      </c>
      <c r="D4" s="21" t="s">
        <v>48</v>
      </c>
      <c r="E4" s="21" t="s">
        <v>49</v>
      </c>
      <c r="F4" s="21" t="s">
        <v>50</v>
      </c>
      <c r="G4" s="21" t="s">
        <v>51</v>
      </c>
      <c r="H4" s="21" t="s">
        <v>52</v>
      </c>
      <c r="I4" s="21" t="s">
        <v>53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75" customHeight="1">
      <c r="A5" s="20"/>
      <c r="B5" s="20"/>
      <c r="C5" s="5" t="s">
        <v>153</v>
      </c>
      <c r="D5" s="2"/>
      <c r="E5" s="2"/>
      <c r="F5" s="2"/>
      <c r="G5" s="2"/>
      <c r="H5" s="2"/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9.75" customHeight="1">
      <c r="A6" s="20"/>
      <c r="B6" s="20"/>
      <c r="C6" s="22">
        <v>1.0</v>
      </c>
      <c r="D6" s="23" t="s">
        <v>154</v>
      </c>
      <c r="E6" s="24" t="s">
        <v>155</v>
      </c>
      <c r="F6" s="25" t="s">
        <v>79</v>
      </c>
      <c r="G6" s="26" t="s">
        <v>58</v>
      </c>
      <c r="H6" s="27"/>
      <c r="I6" s="28" t="s">
        <v>156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9.75" customHeight="1">
      <c r="A7" s="20"/>
      <c r="B7" s="20"/>
      <c r="C7" s="29">
        <v>2.0</v>
      </c>
      <c r="D7" s="30" t="s">
        <v>157</v>
      </c>
      <c r="E7" s="31" t="s">
        <v>158</v>
      </c>
      <c r="F7" s="32" t="s">
        <v>79</v>
      </c>
      <c r="G7" s="33" t="s">
        <v>58</v>
      </c>
      <c r="H7" s="34"/>
      <c r="I7" s="35" t="s">
        <v>159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9.75" customHeight="1">
      <c r="A8" s="20"/>
      <c r="B8" s="20"/>
      <c r="C8" s="22">
        <v>3.0</v>
      </c>
      <c r="D8" s="23" t="s">
        <v>160</v>
      </c>
      <c r="E8" s="24" t="s">
        <v>161</v>
      </c>
      <c r="F8" s="25" t="s">
        <v>134</v>
      </c>
      <c r="G8" s="26" t="s">
        <v>58</v>
      </c>
      <c r="H8" s="27"/>
      <c r="I8" s="28" t="s">
        <v>162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9.75" customHeight="1">
      <c r="A9" s="20"/>
      <c r="B9" s="20"/>
      <c r="C9" s="29">
        <v>4.0</v>
      </c>
      <c r="D9" s="30" t="s">
        <v>163</v>
      </c>
      <c r="E9" s="31" t="s">
        <v>164</v>
      </c>
      <c r="F9" s="32" t="s">
        <v>79</v>
      </c>
      <c r="G9" s="33" t="s">
        <v>58</v>
      </c>
      <c r="H9" s="34"/>
      <c r="I9" s="35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9.75" customHeight="1">
      <c r="A10" s="20"/>
      <c r="B10" s="20"/>
      <c r="C10" s="22">
        <v>5.0</v>
      </c>
      <c r="D10" s="23" t="s">
        <v>165</v>
      </c>
      <c r="E10" s="24" t="s">
        <v>166</v>
      </c>
      <c r="F10" s="25" t="s">
        <v>79</v>
      </c>
      <c r="G10" s="26" t="s">
        <v>58</v>
      </c>
      <c r="H10" s="27"/>
      <c r="I10" s="28" t="s">
        <v>167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9.75" customHeight="1">
      <c r="A11" s="20"/>
      <c r="B11" s="20"/>
      <c r="C11" s="29">
        <v>6.0</v>
      </c>
      <c r="D11" s="30" t="s">
        <v>168</v>
      </c>
      <c r="E11" s="31" t="s">
        <v>169</v>
      </c>
      <c r="F11" s="32" t="s">
        <v>68</v>
      </c>
      <c r="G11" s="33" t="s">
        <v>58</v>
      </c>
      <c r="H11" s="34"/>
      <c r="I11" s="35" t="s">
        <v>170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1.75" customHeight="1">
      <c r="A13" s="20"/>
      <c r="B13" s="20"/>
      <c r="C13" s="5" t="s">
        <v>171</v>
      </c>
      <c r="D13" s="2"/>
      <c r="E13" s="2"/>
      <c r="F13" s="2"/>
      <c r="G13" s="2"/>
      <c r="H13" s="2"/>
      <c r="I13" s="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9.75" customHeight="1">
      <c r="A14" s="20"/>
      <c r="B14" s="20"/>
      <c r="C14" s="22">
        <v>7.0</v>
      </c>
      <c r="D14" s="23" t="s">
        <v>172</v>
      </c>
      <c r="E14" s="24" t="s">
        <v>173</v>
      </c>
      <c r="F14" s="25" t="s">
        <v>65</v>
      </c>
      <c r="G14" s="26" t="s">
        <v>58</v>
      </c>
      <c r="H14" s="27"/>
      <c r="I14" s="28" t="s">
        <v>174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9.75" customHeight="1">
      <c r="A15" s="20"/>
      <c r="B15" s="20"/>
      <c r="C15" s="29">
        <v>8.0</v>
      </c>
      <c r="D15" s="30" t="s">
        <v>175</v>
      </c>
      <c r="E15" s="31" t="s">
        <v>176</v>
      </c>
      <c r="F15" s="32" t="s">
        <v>65</v>
      </c>
      <c r="G15" s="33" t="s">
        <v>58</v>
      </c>
      <c r="H15" s="34"/>
      <c r="I15" s="35" t="s">
        <v>177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9.75" customHeight="1">
      <c r="A16" s="20"/>
      <c r="B16" s="20"/>
      <c r="C16" s="22">
        <v>9.0</v>
      </c>
      <c r="D16" s="23" t="s">
        <v>178</v>
      </c>
      <c r="E16" s="24" t="s">
        <v>179</v>
      </c>
      <c r="F16" s="25" t="s">
        <v>65</v>
      </c>
      <c r="G16" s="26" t="s">
        <v>58</v>
      </c>
      <c r="H16" s="27"/>
      <c r="I16" s="28" t="s">
        <v>180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9.75" customHeight="1">
      <c r="A17" s="20"/>
      <c r="B17" s="20"/>
      <c r="C17" s="29">
        <v>10.0</v>
      </c>
      <c r="D17" s="30" t="s">
        <v>181</v>
      </c>
      <c r="E17" s="31" t="s">
        <v>182</v>
      </c>
      <c r="F17" s="32" t="s">
        <v>65</v>
      </c>
      <c r="G17" s="33" t="s">
        <v>58</v>
      </c>
      <c r="H17" s="34"/>
      <c r="I17" s="35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9.75" customHeight="1">
      <c r="A18" s="20"/>
      <c r="B18" s="20"/>
      <c r="C18" s="22">
        <v>11.0</v>
      </c>
      <c r="D18" s="23" t="s">
        <v>183</v>
      </c>
      <c r="E18" s="24" t="s">
        <v>184</v>
      </c>
      <c r="F18" s="25" t="s">
        <v>65</v>
      </c>
      <c r="G18" s="26" t="s">
        <v>58</v>
      </c>
      <c r="H18" s="27"/>
      <c r="I18" s="2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9.75" customHeight="1">
      <c r="A19" s="20"/>
      <c r="B19" s="20"/>
      <c r="C19" s="29">
        <v>12.0</v>
      </c>
      <c r="D19" s="30" t="s">
        <v>185</v>
      </c>
      <c r="E19" s="31" t="s">
        <v>186</v>
      </c>
      <c r="F19" s="32" t="s">
        <v>187</v>
      </c>
      <c r="G19" s="33" t="s">
        <v>58</v>
      </c>
      <c r="H19" s="34"/>
      <c r="I19" s="35" t="s">
        <v>188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9.75" customHeight="1">
      <c r="A20" s="20"/>
      <c r="B20" s="20"/>
      <c r="C20" s="22">
        <v>13.0</v>
      </c>
      <c r="D20" s="23" t="s">
        <v>189</v>
      </c>
      <c r="E20" s="24" t="s">
        <v>190</v>
      </c>
      <c r="F20" s="25" t="s">
        <v>65</v>
      </c>
      <c r="G20" s="26" t="s">
        <v>58</v>
      </c>
      <c r="H20" s="27"/>
      <c r="I20" s="2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9.75" customHeight="1">
      <c r="A21" s="20"/>
      <c r="B21" s="20"/>
      <c r="C21" s="29">
        <v>14.0</v>
      </c>
      <c r="D21" s="30" t="s">
        <v>191</v>
      </c>
      <c r="E21" s="31" t="s">
        <v>192</v>
      </c>
      <c r="F21" s="32" t="s">
        <v>68</v>
      </c>
      <c r="G21" s="33" t="s">
        <v>58</v>
      </c>
      <c r="H21" s="34"/>
      <c r="I21" s="35" t="s">
        <v>193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1.75" customHeight="1">
      <c r="A23" s="20"/>
      <c r="B23" s="20"/>
      <c r="C23" s="5" t="s">
        <v>194</v>
      </c>
      <c r="D23" s="2"/>
      <c r="E23" s="2"/>
      <c r="F23" s="2"/>
      <c r="G23" s="2"/>
      <c r="H23" s="2"/>
      <c r="I23" s="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9.75" customHeight="1">
      <c r="A24" s="20"/>
      <c r="B24" s="20"/>
      <c r="C24" s="22">
        <v>15.0</v>
      </c>
      <c r="D24" s="23" t="s">
        <v>195</v>
      </c>
      <c r="E24" s="24" t="s">
        <v>196</v>
      </c>
      <c r="F24" s="25" t="s">
        <v>197</v>
      </c>
      <c r="G24" s="26" t="s">
        <v>58</v>
      </c>
      <c r="H24" s="27"/>
      <c r="I24" s="2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9.75" customHeight="1">
      <c r="A25" s="20"/>
      <c r="B25" s="20"/>
      <c r="C25" s="29">
        <v>16.0</v>
      </c>
      <c r="D25" s="30" t="s">
        <v>198</v>
      </c>
      <c r="E25" s="31" t="s">
        <v>199</v>
      </c>
      <c r="F25" s="32" t="s">
        <v>65</v>
      </c>
      <c r="G25" s="33" t="s">
        <v>58</v>
      </c>
      <c r="H25" s="34"/>
      <c r="I25" s="35" t="s">
        <v>99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9.75" customHeight="1">
      <c r="A26" s="20"/>
      <c r="B26" s="20"/>
      <c r="C26" s="22">
        <v>17.0</v>
      </c>
      <c r="D26" s="23" t="s">
        <v>200</v>
      </c>
      <c r="E26" s="24" t="s">
        <v>201</v>
      </c>
      <c r="F26" s="25" t="s">
        <v>197</v>
      </c>
      <c r="G26" s="26" t="s">
        <v>58</v>
      </c>
      <c r="H26" s="27"/>
      <c r="I26" s="2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39.75" customHeight="1">
      <c r="A27" s="20"/>
      <c r="B27" s="20"/>
      <c r="C27" s="29">
        <v>18.0</v>
      </c>
      <c r="D27" s="30" t="s">
        <v>202</v>
      </c>
      <c r="E27" s="31" t="s">
        <v>203</v>
      </c>
      <c r="F27" s="32" t="s">
        <v>65</v>
      </c>
      <c r="G27" s="33" t="s">
        <v>58</v>
      </c>
      <c r="H27" s="34"/>
      <c r="I27" s="35" t="s">
        <v>204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39.75" customHeight="1">
      <c r="A28" s="20"/>
      <c r="B28" s="20"/>
      <c r="C28" s="22">
        <v>19.0</v>
      </c>
      <c r="D28" s="23" t="s">
        <v>205</v>
      </c>
      <c r="E28" s="24" t="s">
        <v>206</v>
      </c>
      <c r="F28" s="25" t="s">
        <v>197</v>
      </c>
      <c r="G28" s="26" t="s">
        <v>58</v>
      </c>
      <c r="H28" s="27"/>
      <c r="I28" s="2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39.75" customHeight="1">
      <c r="A29" s="20"/>
      <c r="B29" s="20"/>
      <c r="C29" s="29">
        <v>20.0</v>
      </c>
      <c r="D29" s="30" t="s">
        <v>207</v>
      </c>
      <c r="E29" s="31" t="s">
        <v>208</v>
      </c>
      <c r="F29" s="32" t="s">
        <v>65</v>
      </c>
      <c r="G29" s="33" t="s">
        <v>58</v>
      </c>
      <c r="H29" s="34"/>
      <c r="I29" s="35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39.75" customHeight="1">
      <c r="A30" s="20"/>
      <c r="B30" s="20"/>
      <c r="C30" s="22">
        <v>21.0</v>
      </c>
      <c r="D30" s="23" t="s">
        <v>209</v>
      </c>
      <c r="E30" s="24" t="s">
        <v>210</v>
      </c>
      <c r="F30" s="25" t="s">
        <v>197</v>
      </c>
      <c r="G30" s="26" t="s">
        <v>58</v>
      </c>
      <c r="H30" s="27"/>
      <c r="I30" s="2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39.75" customHeight="1">
      <c r="A31" s="20"/>
      <c r="B31" s="20"/>
      <c r="C31" s="29">
        <v>22.0</v>
      </c>
      <c r="D31" s="30" t="s">
        <v>211</v>
      </c>
      <c r="E31" s="31" t="s">
        <v>212</v>
      </c>
      <c r="F31" s="32" t="s">
        <v>65</v>
      </c>
      <c r="G31" s="33" t="s">
        <v>58</v>
      </c>
      <c r="H31" s="34"/>
      <c r="I31" s="3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1.75" customHeight="1">
      <c r="A33" s="20"/>
      <c r="B33" s="20"/>
      <c r="C33" s="5" t="s">
        <v>213</v>
      </c>
      <c r="D33" s="2"/>
      <c r="E33" s="2"/>
      <c r="F33" s="2"/>
      <c r="G33" s="2"/>
      <c r="H33" s="2"/>
      <c r="I33" s="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39.75" customHeight="1">
      <c r="A34" s="20"/>
      <c r="B34" s="20"/>
      <c r="C34" s="22">
        <v>23.0</v>
      </c>
      <c r="D34" s="23" t="s">
        <v>214</v>
      </c>
      <c r="E34" s="24" t="s">
        <v>215</v>
      </c>
      <c r="F34" s="25" t="s">
        <v>68</v>
      </c>
      <c r="G34" s="26" t="s">
        <v>58</v>
      </c>
      <c r="H34" s="27"/>
      <c r="I34" s="28" t="s">
        <v>216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39.75" customHeight="1">
      <c r="A35" s="20"/>
      <c r="B35" s="20"/>
      <c r="C35" s="29">
        <v>24.0</v>
      </c>
      <c r="D35" s="30" t="s">
        <v>217</v>
      </c>
      <c r="E35" s="31" t="s">
        <v>218</v>
      </c>
      <c r="F35" s="32" t="s">
        <v>68</v>
      </c>
      <c r="G35" s="33" t="s">
        <v>58</v>
      </c>
      <c r="H35" s="34"/>
      <c r="I35" s="35" t="s">
        <v>219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39.75" customHeight="1">
      <c r="A36" s="20"/>
      <c r="B36" s="20"/>
      <c r="C36" s="22">
        <v>25.0</v>
      </c>
      <c r="D36" s="23" t="s">
        <v>220</v>
      </c>
      <c r="E36" s="24" t="s">
        <v>221</v>
      </c>
      <c r="F36" s="25" t="s">
        <v>222</v>
      </c>
      <c r="G36" s="26" t="s">
        <v>58</v>
      </c>
      <c r="H36" s="27"/>
      <c r="I36" s="28" t="s">
        <v>223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39.75" customHeight="1">
      <c r="A37" s="20"/>
      <c r="B37" s="20"/>
      <c r="C37" s="29">
        <v>26.0</v>
      </c>
      <c r="D37" s="30" t="s">
        <v>224</v>
      </c>
      <c r="E37" s="31" t="s">
        <v>225</v>
      </c>
      <c r="F37" s="32" t="s">
        <v>68</v>
      </c>
      <c r="G37" s="33" t="s">
        <v>58</v>
      </c>
      <c r="H37" s="34"/>
      <c r="I37" s="35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B2:I2"/>
    <mergeCell ref="B3:I3"/>
    <mergeCell ref="C5:I5"/>
    <mergeCell ref="C13:I13"/>
    <mergeCell ref="C23:I23"/>
    <mergeCell ref="C33:I33"/>
  </mergeCells>
  <dataValidations>
    <dataValidation type="list" allowBlank="1" sqref="G6:G11 G14:G21 G24:G31 G34:G37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2.57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45.0" customHeight="1">
      <c r="A2" s="20"/>
      <c r="B2" s="51" t="s">
        <v>226</v>
      </c>
      <c r="C2" s="2"/>
      <c r="D2" s="2"/>
      <c r="E2" s="2"/>
      <c r="F2" s="2"/>
      <c r="G2" s="2"/>
      <c r="H2" s="2"/>
      <c r="I2" s="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20"/>
      <c r="B3" s="19" t="str">
        <f>COUNTIF(G5:G32,"✅ OK")&amp;" de 19 itens concluídos  |  "&amp;COUNTIF(G5:G32,"❌ Pendente")&amp;" pendentes  |  "&amp;COUNTIF(G5:G32,"⚠️ Atenção")&amp;" com atenção"</f>
        <v>0 de 19 itens concluídos  |  19 pendentes  |  0 com atenção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0" customHeight="1">
      <c r="A4" s="20"/>
      <c r="B4" s="20"/>
      <c r="C4" s="52" t="s">
        <v>47</v>
      </c>
      <c r="D4" s="52" t="s">
        <v>48</v>
      </c>
      <c r="E4" s="52" t="s">
        <v>49</v>
      </c>
      <c r="F4" s="52" t="s">
        <v>50</v>
      </c>
      <c r="G4" s="52" t="s">
        <v>51</v>
      </c>
      <c r="H4" s="52" t="s">
        <v>52</v>
      </c>
      <c r="I4" s="52" t="s">
        <v>53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75" customHeight="1">
      <c r="A5" s="20"/>
      <c r="B5" s="20"/>
      <c r="C5" s="5" t="s">
        <v>153</v>
      </c>
      <c r="D5" s="2"/>
      <c r="E5" s="2"/>
      <c r="F5" s="2"/>
      <c r="G5" s="2"/>
      <c r="H5" s="2"/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9.75" customHeight="1">
      <c r="A6" s="20"/>
      <c r="B6" s="20"/>
      <c r="C6" s="53">
        <v>1.0</v>
      </c>
      <c r="D6" s="23" t="s">
        <v>154</v>
      </c>
      <c r="E6" s="24" t="s">
        <v>227</v>
      </c>
      <c r="F6" s="25" t="s">
        <v>228</v>
      </c>
      <c r="G6" s="26" t="s">
        <v>58</v>
      </c>
      <c r="H6" s="27"/>
      <c r="I6" s="2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9.75" customHeight="1">
      <c r="A7" s="20"/>
      <c r="B7" s="20"/>
      <c r="C7" s="54">
        <v>2.0</v>
      </c>
      <c r="D7" s="30" t="s">
        <v>157</v>
      </c>
      <c r="E7" s="31" t="s">
        <v>229</v>
      </c>
      <c r="F7" s="32" t="s">
        <v>228</v>
      </c>
      <c r="G7" s="33" t="s">
        <v>58</v>
      </c>
      <c r="H7" s="34"/>
      <c r="I7" s="35" t="s">
        <v>230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9.75" customHeight="1">
      <c r="A8" s="20"/>
      <c r="B8" s="20"/>
      <c r="C8" s="53">
        <v>3.0</v>
      </c>
      <c r="D8" s="23" t="s">
        <v>163</v>
      </c>
      <c r="E8" s="24" t="s">
        <v>231</v>
      </c>
      <c r="F8" s="25" t="s">
        <v>228</v>
      </c>
      <c r="G8" s="26" t="s">
        <v>58</v>
      </c>
      <c r="H8" s="27"/>
      <c r="I8" s="28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9.75" customHeight="1">
      <c r="A9" s="20"/>
      <c r="B9" s="20"/>
      <c r="C9" s="54">
        <v>4.0</v>
      </c>
      <c r="D9" s="30" t="s">
        <v>232</v>
      </c>
      <c r="E9" s="31" t="s">
        <v>233</v>
      </c>
      <c r="F9" s="32" t="s">
        <v>228</v>
      </c>
      <c r="G9" s="33" t="s">
        <v>58</v>
      </c>
      <c r="H9" s="34"/>
      <c r="I9" s="35" t="s">
        <v>234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9.75" customHeight="1">
      <c r="A10" s="20"/>
      <c r="B10" s="20"/>
      <c r="C10" s="53">
        <v>5.0</v>
      </c>
      <c r="D10" s="23" t="s">
        <v>165</v>
      </c>
      <c r="E10" s="24" t="s">
        <v>235</v>
      </c>
      <c r="F10" s="25" t="s">
        <v>228</v>
      </c>
      <c r="G10" s="26" t="s">
        <v>58</v>
      </c>
      <c r="H10" s="27"/>
      <c r="I10" s="2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1.75" customHeight="1">
      <c r="A12" s="20"/>
      <c r="B12" s="20"/>
      <c r="C12" s="5" t="s">
        <v>236</v>
      </c>
      <c r="D12" s="2"/>
      <c r="E12" s="2"/>
      <c r="F12" s="2"/>
      <c r="G12" s="2"/>
      <c r="H12" s="2"/>
      <c r="I12" s="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9.75" customHeight="1">
      <c r="A13" s="20"/>
      <c r="B13" s="20"/>
      <c r="C13" s="54">
        <v>6.0</v>
      </c>
      <c r="D13" s="30" t="s">
        <v>237</v>
      </c>
      <c r="E13" s="31" t="s">
        <v>238</v>
      </c>
      <c r="F13" s="32" t="s">
        <v>65</v>
      </c>
      <c r="G13" s="33" t="s">
        <v>58</v>
      </c>
      <c r="H13" s="34"/>
      <c r="I13" s="35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9.75" customHeight="1">
      <c r="A14" s="20"/>
      <c r="B14" s="20"/>
      <c r="C14" s="53">
        <v>7.0</v>
      </c>
      <c r="D14" s="23" t="s">
        <v>239</v>
      </c>
      <c r="E14" s="24" t="s">
        <v>240</v>
      </c>
      <c r="F14" s="25" t="s">
        <v>187</v>
      </c>
      <c r="G14" s="26" t="s">
        <v>58</v>
      </c>
      <c r="H14" s="27"/>
      <c r="I14" s="28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9.75" customHeight="1">
      <c r="A15" s="20"/>
      <c r="B15" s="20"/>
      <c r="C15" s="54">
        <v>8.0</v>
      </c>
      <c r="D15" s="30" t="s">
        <v>241</v>
      </c>
      <c r="E15" s="31" t="s">
        <v>242</v>
      </c>
      <c r="F15" s="32" t="s">
        <v>68</v>
      </c>
      <c r="G15" s="33" t="s">
        <v>58</v>
      </c>
      <c r="H15" s="34"/>
      <c r="I15" s="35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9.75" customHeight="1">
      <c r="A16" s="20"/>
      <c r="B16" s="20"/>
      <c r="C16" s="53">
        <v>9.0</v>
      </c>
      <c r="D16" s="23" t="s">
        <v>243</v>
      </c>
      <c r="E16" s="24" t="s">
        <v>244</v>
      </c>
      <c r="F16" s="25" t="s">
        <v>65</v>
      </c>
      <c r="G16" s="26" t="s">
        <v>58</v>
      </c>
      <c r="H16" s="27"/>
      <c r="I16" s="28" t="s">
        <v>245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1.75" customHeight="1">
      <c r="A18" s="20"/>
      <c r="B18" s="20"/>
      <c r="C18" s="5" t="s">
        <v>246</v>
      </c>
      <c r="D18" s="2"/>
      <c r="E18" s="2"/>
      <c r="F18" s="2"/>
      <c r="G18" s="2"/>
      <c r="H18" s="2"/>
      <c r="I18" s="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9.75" customHeight="1">
      <c r="A19" s="20"/>
      <c r="B19" s="20"/>
      <c r="C19" s="54">
        <v>10.0</v>
      </c>
      <c r="D19" s="30" t="s">
        <v>247</v>
      </c>
      <c r="E19" s="31" t="s">
        <v>248</v>
      </c>
      <c r="F19" s="32" t="s">
        <v>249</v>
      </c>
      <c r="G19" s="33" t="s">
        <v>58</v>
      </c>
      <c r="H19" s="34"/>
      <c r="I19" s="35" t="s">
        <v>250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9.75" customHeight="1">
      <c r="A20" s="20"/>
      <c r="B20" s="20"/>
      <c r="C20" s="53">
        <v>11.0</v>
      </c>
      <c r="D20" s="23" t="s">
        <v>251</v>
      </c>
      <c r="E20" s="24" t="s">
        <v>252</v>
      </c>
      <c r="F20" s="25" t="s">
        <v>253</v>
      </c>
      <c r="G20" s="26" t="s">
        <v>58</v>
      </c>
      <c r="H20" s="27"/>
      <c r="I20" s="2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9.75" customHeight="1">
      <c r="A21" s="20"/>
      <c r="B21" s="20"/>
      <c r="C21" s="54">
        <v>12.0</v>
      </c>
      <c r="D21" s="30" t="s">
        <v>254</v>
      </c>
      <c r="E21" s="31" t="s">
        <v>255</v>
      </c>
      <c r="F21" s="32" t="s">
        <v>256</v>
      </c>
      <c r="G21" s="33" t="s">
        <v>58</v>
      </c>
      <c r="H21" s="34"/>
      <c r="I21" s="35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9.75" customHeight="1">
      <c r="A22" s="20"/>
      <c r="B22" s="20"/>
      <c r="C22" s="53">
        <v>13.0</v>
      </c>
      <c r="D22" s="23" t="s">
        <v>257</v>
      </c>
      <c r="E22" s="24" t="s">
        <v>258</v>
      </c>
      <c r="F22" s="25" t="s">
        <v>256</v>
      </c>
      <c r="G22" s="26" t="s">
        <v>58</v>
      </c>
      <c r="H22" s="27"/>
      <c r="I22" s="28" t="s">
        <v>259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9.75" customHeight="1">
      <c r="A23" s="20"/>
      <c r="B23" s="20"/>
      <c r="C23" s="54">
        <v>14.0</v>
      </c>
      <c r="D23" s="30" t="s">
        <v>260</v>
      </c>
      <c r="E23" s="31" t="s">
        <v>261</v>
      </c>
      <c r="F23" s="32" t="s">
        <v>262</v>
      </c>
      <c r="G23" s="33" t="s">
        <v>58</v>
      </c>
      <c r="H23" s="34"/>
      <c r="I23" s="35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9.75" customHeight="1">
      <c r="A24" s="20"/>
      <c r="B24" s="20"/>
      <c r="C24" s="53">
        <v>15.0</v>
      </c>
      <c r="D24" s="23" t="s">
        <v>263</v>
      </c>
      <c r="E24" s="24" t="s">
        <v>264</v>
      </c>
      <c r="F24" s="25" t="s">
        <v>228</v>
      </c>
      <c r="G24" s="26" t="s">
        <v>58</v>
      </c>
      <c r="H24" s="27"/>
      <c r="I24" s="2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1.75" customHeight="1">
      <c r="A26" s="20"/>
      <c r="B26" s="20"/>
      <c r="C26" s="5" t="s">
        <v>265</v>
      </c>
      <c r="D26" s="2"/>
      <c r="E26" s="2"/>
      <c r="F26" s="2"/>
      <c r="G26" s="2"/>
      <c r="H26" s="2"/>
      <c r="I26" s="3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39.75" customHeight="1">
      <c r="A27" s="20"/>
      <c r="B27" s="20"/>
      <c r="C27" s="54">
        <v>16.0</v>
      </c>
      <c r="D27" s="30" t="s">
        <v>195</v>
      </c>
      <c r="E27" s="31" t="s">
        <v>266</v>
      </c>
      <c r="F27" s="32" t="s">
        <v>267</v>
      </c>
      <c r="G27" s="33" t="s">
        <v>58</v>
      </c>
      <c r="H27" s="34"/>
      <c r="I27" s="3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39.75" customHeight="1">
      <c r="A28" s="20"/>
      <c r="B28" s="20"/>
      <c r="C28" s="53">
        <v>17.0</v>
      </c>
      <c r="D28" s="23" t="s">
        <v>268</v>
      </c>
      <c r="E28" s="24" t="s">
        <v>269</v>
      </c>
      <c r="F28" s="25" t="s">
        <v>65</v>
      </c>
      <c r="G28" s="26" t="s">
        <v>58</v>
      </c>
      <c r="H28" s="27"/>
      <c r="I28" s="2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39.75" customHeight="1">
      <c r="A29" s="20"/>
      <c r="B29" s="20"/>
      <c r="C29" s="54">
        <v>18.0</v>
      </c>
      <c r="D29" s="30" t="s">
        <v>270</v>
      </c>
      <c r="E29" s="31" t="s">
        <v>271</v>
      </c>
      <c r="F29" s="32" t="s">
        <v>267</v>
      </c>
      <c r="G29" s="33" t="s">
        <v>58</v>
      </c>
      <c r="H29" s="34"/>
      <c r="I29" s="35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39.75" customHeight="1">
      <c r="A30" s="20"/>
      <c r="B30" s="20"/>
      <c r="C30" s="53">
        <v>19.0</v>
      </c>
      <c r="D30" s="23" t="s">
        <v>272</v>
      </c>
      <c r="E30" s="24" t="s">
        <v>273</v>
      </c>
      <c r="F30" s="25" t="s">
        <v>65</v>
      </c>
      <c r="G30" s="26" t="s">
        <v>58</v>
      </c>
      <c r="H30" s="27"/>
      <c r="I30" s="2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B2:I2"/>
    <mergeCell ref="B3:I3"/>
    <mergeCell ref="C5:I5"/>
    <mergeCell ref="C12:I12"/>
    <mergeCell ref="C18:I18"/>
    <mergeCell ref="C26:I26"/>
  </mergeCells>
  <dataValidations>
    <dataValidation type="list" allowBlank="1" sqref="G6:G10 G13:G16 G19:G24 G27:G30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6.14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/>
    <row r="2" ht="45.0" customHeight="1">
      <c r="B2" s="55" t="s">
        <v>274</v>
      </c>
      <c r="C2" s="2"/>
      <c r="D2" s="2"/>
      <c r="E2" s="2"/>
      <c r="F2" s="2"/>
      <c r="G2" s="2"/>
      <c r="H2" s="2"/>
      <c r="I2" s="3"/>
    </row>
    <row r="3" ht="21.75" customHeight="1">
      <c r="B3" s="19" t="str">
        <f>COUNTIF(G5:G36,"✅ OK")&amp;" de 23 itens concluídos  |  "&amp;COUNTIF(G5:G36,"❌ Pendente")&amp;" pendentes  |  "&amp;COUNTIF(G5:G36,"⚠️ Atenção")&amp;" com atenção"</f>
        <v>0 de 23 itens concluídos  |  23 pendentes  |  0 com atenção</v>
      </c>
      <c r="C3" s="2"/>
      <c r="D3" s="2"/>
      <c r="E3" s="2"/>
      <c r="F3" s="2"/>
      <c r="G3" s="2"/>
      <c r="H3" s="2"/>
      <c r="I3" s="3"/>
    </row>
    <row r="4" ht="24.0" customHeight="1">
      <c r="B4" s="20"/>
      <c r="C4" s="56" t="s">
        <v>47</v>
      </c>
      <c r="D4" s="56" t="s">
        <v>48</v>
      </c>
      <c r="E4" s="56" t="s">
        <v>49</v>
      </c>
      <c r="F4" s="56" t="s">
        <v>50</v>
      </c>
      <c r="G4" s="56" t="s">
        <v>51</v>
      </c>
      <c r="H4" s="56" t="s">
        <v>52</v>
      </c>
      <c r="I4" s="56" t="s">
        <v>53</v>
      </c>
    </row>
    <row r="5" ht="21.75" customHeight="1">
      <c r="B5" s="20"/>
      <c r="C5" s="5" t="s">
        <v>275</v>
      </c>
      <c r="D5" s="2"/>
      <c r="E5" s="2"/>
      <c r="F5" s="2"/>
      <c r="G5" s="2"/>
      <c r="H5" s="2"/>
      <c r="I5" s="3"/>
    </row>
    <row r="6" ht="39.75" customHeight="1">
      <c r="B6" s="20"/>
      <c r="C6" s="57">
        <v>1.0</v>
      </c>
      <c r="D6" s="23" t="s">
        <v>276</v>
      </c>
      <c r="E6" s="24" t="s">
        <v>277</v>
      </c>
      <c r="F6" s="25" t="s">
        <v>65</v>
      </c>
      <c r="G6" s="26" t="s">
        <v>58</v>
      </c>
      <c r="H6" s="27"/>
      <c r="I6" s="28"/>
    </row>
    <row r="7" ht="39.75" customHeight="1">
      <c r="B7" s="20"/>
      <c r="C7" s="58">
        <v>2.0</v>
      </c>
      <c r="D7" s="30" t="s">
        <v>278</v>
      </c>
      <c r="E7" s="31" t="s">
        <v>279</v>
      </c>
      <c r="F7" s="32" t="s">
        <v>65</v>
      </c>
      <c r="G7" s="33" t="s">
        <v>58</v>
      </c>
      <c r="H7" s="34"/>
      <c r="I7" s="35" t="s">
        <v>280</v>
      </c>
    </row>
    <row r="8" ht="39.75" customHeight="1">
      <c r="B8" s="20"/>
      <c r="C8" s="57">
        <v>3.0</v>
      </c>
      <c r="D8" s="23" t="s">
        <v>281</v>
      </c>
      <c r="E8" s="24" t="s">
        <v>282</v>
      </c>
      <c r="F8" s="25" t="s">
        <v>65</v>
      </c>
      <c r="G8" s="26" t="s">
        <v>58</v>
      </c>
      <c r="H8" s="27"/>
      <c r="I8" s="28"/>
    </row>
    <row r="9" ht="39.75" customHeight="1">
      <c r="B9" s="20"/>
      <c r="C9" s="58">
        <v>4.0</v>
      </c>
      <c r="D9" s="30" t="s">
        <v>283</v>
      </c>
      <c r="E9" s="31" t="s">
        <v>284</v>
      </c>
      <c r="F9" s="32" t="s">
        <v>65</v>
      </c>
      <c r="G9" s="33" t="s">
        <v>58</v>
      </c>
      <c r="H9" s="34"/>
      <c r="I9" s="35"/>
    </row>
    <row r="10" ht="39.75" customHeight="1">
      <c r="B10" s="20"/>
      <c r="C10" s="57">
        <v>5.0</v>
      </c>
      <c r="D10" s="23" t="s">
        <v>285</v>
      </c>
      <c r="E10" s="24" t="s">
        <v>286</v>
      </c>
      <c r="F10" s="25" t="s">
        <v>65</v>
      </c>
      <c r="G10" s="26" t="s">
        <v>58</v>
      </c>
      <c r="H10" s="27"/>
      <c r="I10" s="28"/>
    </row>
    <row r="11" ht="39.75" customHeight="1">
      <c r="B11" s="20"/>
      <c r="C11" s="58">
        <v>6.0</v>
      </c>
      <c r="D11" s="30" t="s">
        <v>287</v>
      </c>
      <c r="E11" s="31" t="s">
        <v>288</v>
      </c>
      <c r="F11" s="32" t="s">
        <v>65</v>
      </c>
      <c r="G11" s="33" t="s">
        <v>58</v>
      </c>
      <c r="H11" s="34"/>
      <c r="I11" s="35"/>
    </row>
    <row r="13" ht="21.75" customHeight="1">
      <c r="C13" s="11" t="s">
        <v>289</v>
      </c>
      <c r="D13" s="2"/>
      <c r="E13" s="2"/>
      <c r="F13" s="2"/>
      <c r="G13" s="2"/>
      <c r="H13" s="2"/>
      <c r="I13" s="3"/>
    </row>
    <row r="14" ht="39.75" customHeight="1">
      <c r="C14" s="59">
        <v>7.0</v>
      </c>
      <c r="D14" s="37" t="s">
        <v>290</v>
      </c>
      <c r="E14" s="38" t="s">
        <v>291</v>
      </c>
      <c r="F14" s="39" t="s">
        <v>65</v>
      </c>
      <c r="G14" s="40" t="s">
        <v>58</v>
      </c>
      <c r="H14" s="41"/>
      <c r="I14" s="42"/>
    </row>
    <row r="15" ht="39.75" customHeight="1">
      <c r="C15" s="60">
        <v>8.0</v>
      </c>
      <c r="D15" s="44" t="s">
        <v>292</v>
      </c>
      <c r="E15" s="45" t="s">
        <v>293</v>
      </c>
      <c r="F15" s="46" t="s">
        <v>65</v>
      </c>
      <c r="G15" s="47" t="s">
        <v>58</v>
      </c>
      <c r="H15" s="48"/>
      <c r="I15" s="49"/>
    </row>
    <row r="16" ht="39.75" customHeight="1">
      <c r="C16" s="59">
        <v>9.0</v>
      </c>
      <c r="D16" s="37" t="s">
        <v>294</v>
      </c>
      <c r="E16" s="38" t="s">
        <v>295</v>
      </c>
      <c r="F16" s="39" t="s">
        <v>65</v>
      </c>
      <c r="G16" s="40" t="s">
        <v>58</v>
      </c>
      <c r="H16" s="41"/>
      <c r="I16" s="42"/>
    </row>
    <row r="17" ht="39.75" customHeight="1">
      <c r="C17" s="60">
        <v>10.0</v>
      </c>
      <c r="D17" s="44" t="s">
        <v>296</v>
      </c>
      <c r="E17" s="45" t="s">
        <v>297</v>
      </c>
      <c r="F17" s="46" t="s">
        <v>65</v>
      </c>
      <c r="G17" s="47" t="s">
        <v>58</v>
      </c>
      <c r="H17" s="48"/>
      <c r="I17" s="49"/>
    </row>
    <row r="18" ht="39.75" customHeight="1">
      <c r="C18" s="59">
        <v>11.0</v>
      </c>
      <c r="D18" s="37" t="s">
        <v>298</v>
      </c>
      <c r="E18" s="38" t="s">
        <v>299</v>
      </c>
      <c r="F18" s="39" t="s">
        <v>65</v>
      </c>
      <c r="G18" s="40" t="s">
        <v>58</v>
      </c>
      <c r="H18" s="41"/>
      <c r="I18" s="42" t="s">
        <v>300</v>
      </c>
    </row>
    <row r="19" ht="39.75" customHeight="1">
      <c r="C19" s="60">
        <v>12.0</v>
      </c>
      <c r="D19" s="44" t="s">
        <v>301</v>
      </c>
      <c r="E19" s="45" t="s">
        <v>302</v>
      </c>
      <c r="F19" s="46" t="s">
        <v>65</v>
      </c>
      <c r="G19" s="47" t="s">
        <v>58</v>
      </c>
      <c r="H19" s="48"/>
      <c r="I19" s="49"/>
    </row>
    <row r="20" ht="39.75" customHeight="1">
      <c r="C20" s="59">
        <v>13.0</v>
      </c>
      <c r="D20" s="37" t="s">
        <v>303</v>
      </c>
      <c r="E20" s="38" t="s">
        <v>304</v>
      </c>
      <c r="F20" s="39" t="s">
        <v>65</v>
      </c>
      <c r="G20" s="40" t="s">
        <v>58</v>
      </c>
      <c r="H20" s="41"/>
      <c r="I20" s="42"/>
    </row>
    <row r="21" ht="39.75" customHeight="1">
      <c r="C21" s="60">
        <v>14.0</v>
      </c>
      <c r="D21" s="44" t="s">
        <v>305</v>
      </c>
      <c r="E21" s="45" t="s">
        <v>306</v>
      </c>
      <c r="F21" s="46" t="s">
        <v>307</v>
      </c>
      <c r="G21" s="47" t="s">
        <v>58</v>
      </c>
      <c r="H21" s="48"/>
      <c r="I21" s="49"/>
    </row>
    <row r="22" ht="15.75" customHeight="1"/>
    <row r="23" ht="21.75" customHeight="1">
      <c r="C23" s="11" t="s">
        <v>308</v>
      </c>
      <c r="D23" s="2"/>
      <c r="E23" s="2"/>
      <c r="F23" s="2"/>
      <c r="G23" s="2"/>
      <c r="H23" s="2"/>
      <c r="I23" s="3"/>
    </row>
    <row r="24" ht="39.75" customHeight="1">
      <c r="C24" s="59">
        <v>15.0</v>
      </c>
      <c r="D24" s="37" t="s">
        <v>309</v>
      </c>
      <c r="E24" s="38" t="s">
        <v>310</v>
      </c>
      <c r="F24" s="39" t="s">
        <v>68</v>
      </c>
      <c r="G24" s="40" t="s">
        <v>58</v>
      </c>
      <c r="H24" s="41"/>
      <c r="I24" s="42"/>
    </row>
    <row r="25" ht="39.75" customHeight="1">
      <c r="C25" s="60">
        <v>16.0</v>
      </c>
      <c r="D25" s="44" t="s">
        <v>311</v>
      </c>
      <c r="E25" s="45" t="s">
        <v>312</v>
      </c>
      <c r="F25" s="46" t="s">
        <v>68</v>
      </c>
      <c r="G25" s="47" t="s">
        <v>58</v>
      </c>
      <c r="H25" s="48"/>
      <c r="I25" s="49"/>
    </row>
    <row r="26" ht="39.75" customHeight="1">
      <c r="C26" s="59">
        <v>17.0</v>
      </c>
      <c r="D26" s="37" t="s">
        <v>313</v>
      </c>
      <c r="E26" s="38" t="s">
        <v>314</v>
      </c>
      <c r="F26" s="39" t="s">
        <v>187</v>
      </c>
      <c r="G26" s="40" t="s">
        <v>58</v>
      </c>
      <c r="H26" s="41"/>
      <c r="I26" s="42" t="s">
        <v>315</v>
      </c>
    </row>
    <row r="27" ht="39.75" customHeight="1">
      <c r="C27" s="60">
        <v>18.0</v>
      </c>
      <c r="D27" s="44" t="s">
        <v>316</v>
      </c>
      <c r="E27" s="45" t="s">
        <v>317</v>
      </c>
      <c r="F27" s="46" t="s">
        <v>68</v>
      </c>
      <c r="G27" s="47" t="s">
        <v>58</v>
      </c>
      <c r="H27" s="48"/>
      <c r="I27" s="49"/>
    </row>
    <row r="28" ht="39.75" customHeight="1">
      <c r="C28" s="59">
        <v>19.0</v>
      </c>
      <c r="D28" s="37" t="s">
        <v>318</v>
      </c>
      <c r="E28" s="38" t="s">
        <v>319</v>
      </c>
      <c r="F28" s="39" t="s">
        <v>68</v>
      </c>
      <c r="G28" s="40" t="s">
        <v>58</v>
      </c>
      <c r="H28" s="41"/>
      <c r="I28" s="42"/>
    </row>
    <row r="29" ht="15.75" customHeight="1"/>
    <row r="30" ht="21.75" customHeight="1">
      <c r="C30" s="11" t="s">
        <v>320</v>
      </c>
      <c r="D30" s="2"/>
      <c r="E30" s="2"/>
      <c r="F30" s="2"/>
      <c r="G30" s="2"/>
      <c r="H30" s="2"/>
      <c r="I30" s="3"/>
    </row>
    <row r="31" ht="39.75" customHeight="1">
      <c r="C31" s="60">
        <v>20.0</v>
      </c>
      <c r="D31" s="44" t="s">
        <v>321</v>
      </c>
      <c r="E31" s="45" t="s">
        <v>322</v>
      </c>
      <c r="F31" s="46" t="s">
        <v>65</v>
      </c>
      <c r="G31" s="47" t="s">
        <v>58</v>
      </c>
      <c r="H31" s="48"/>
      <c r="I31" s="49" t="s">
        <v>323</v>
      </c>
    </row>
    <row r="32" ht="39.75" customHeight="1">
      <c r="C32" s="59">
        <v>21.0</v>
      </c>
      <c r="D32" s="37" t="s">
        <v>324</v>
      </c>
      <c r="E32" s="38" t="s">
        <v>325</v>
      </c>
      <c r="F32" s="39" t="s">
        <v>65</v>
      </c>
      <c r="G32" s="40" t="s">
        <v>58</v>
      </c>
      <c r="H32" s="41"/>
      <c r="I32" s="42"/>
    </row>
    <row r="33" ht="39.75" customHeight="1">
      <c r="C33" s="60">
        <v>22.0</v>
      </c>
      <c r="D33" s="44" t="s">
        <v>326</v>
      </c>
      <c r="E33" s="45" t="s">
        <v>327</v>
      </c>
      <c r="F33" s="46" t="s">
        <v>65</v>
      </c>
      <c r="G33" s="47" t="s">
        <v>58</v>
      </c>
      <c r="H33" s="48"/>
      <c r="I33" s="49"/>
    </row>
    <row r="34" ht="39.75" customHeight="1">
      <c r="C34" s="59">
        <v>23.0</v>
      </c>
      <c r="D34" s="37" t="s">
        <v>328</v>
      </c>
      <c r="E34" s="38" t="s">
        <v>329</v>
      </c>
      <c r="F34" s="39" t="s">
        <v>65</v>
      </c>
      <c r="G34" s="40" t="s">
        <v>58</v>
      </c>
      <c r="H34" s="41"/>
      <c r="I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I2"/>
    <mergeCell ref="B3:I3"/>
    <mergeCell ref="C5:I5"/>
    <mergeCell ref="C13:I13"/>
    <mergeCell ref="C23:I23"/>
    <mergeCell ref="C30:I30"/>
  </mergeCells>
  <dataValidations>
    <dataValidation type="list" allowBlank="1" sqref="G6:G11 G14:G21 G24:G28 G31:G34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8.43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/>
    <row r="2" ht="45.0" customHeight="1">
      <c r="B2" s="61" t="s">
        <v>330</v>
      </c>
      <c r="C2" s="2"/>
      <c r="D2" s="2"/>
      <c r="E2" s="2"/>
      <c r="F2" s="2"/>
      <c r="G2" s="2"/>
      <c r="H2" s="2"/>
      <c r="I2" s="3"/>
    </row>
    <row r="3" ht="21.75" customHeight="1">
      <c r="B3" s="19" t="str">
        <f>COUNTIF(G5:G33,"✅ OK")&amp;" de 22 itens concluídos  |  "&amp;COUNTIF(G5:G33,"❌ Pendente")&amp;" pendentes  |  "&amp;COUNTIF(G5:G33,"⚠️ Atenção")&amp;" com atenção"</f>
        <v>0 de 22 itens concluídos  |  22 pendentes  |  0 com atenção</v>
      </c>
      <c r="C3" s="2"/>
      <c r="D3" s="2"/>
      <c r="E3" s="2"/>
      <c r="F3" s="2"/>
      <c r="G3" s="2"/>
      <c r="H3" s="2"/>
      <c r="I3" s="3"/>
    </row>
    <row r="4" ht="24.0" customHeight="1">
      <c r="B4" s="20"/>
      <c r="C4" s="62" t="s">
        <v>47</v>
      </c>
      <c r="D4" s="62" t="s">
        <v>48</v>
      </c>
      <c r="E4" s="62" t="s">
        <v>49</v>
      </c>
      <c r="F4" s="62" t="s">
        <v>50</v>
      </c>
      <c r="G4" s="62" t="s">
        <v>51</v>
      </c>
      <c r="H4" s="62" t="s">
        <v>52</v>
      </c>
      <c r="I4" s="62" t="s">
        <v>53</v>
      </c>
    </row>
    <row r="5" ht="21.75" customHeight="1">
      <c r="B5" s="20"/>
      <c r="C5" s="5" t="s">
        <v>331</v>
      </c>
      <c r="D5" s="2"/>
      <c r="E5" s="2"/>
      <c r="F5" s="2"/>
      <c r="G5" s="2"/>
      <c r="H5" s="2"/>
      <c r="I5" s="3"/>
    </row>
    <row r="6" ht="39.75" customHeight="1">
      <c r="B6" s="20"/>
      <c r="C6" s="63">
        <v>1.0</v>
      </c>
      <c r="D6" s="23" t="s">
        <v>332</v>
      </c>
      <c r="E6" s="24" t="s">
        <v>333</v>
      </c>
      <c r="F6" s="25" t="s">
        <v>68</v>
      </c>
      <c r="G6" s="26" t="s">
        <v>58</v>
      </c>
      <c r="H6" s="27"/>
      <c r="I6" s="28" t="s">
        <v>334</v>
      </c>
    </row>
    <row r="7" ht="39.75" customHeight="1">
      <c r="B7" s="20"/>
      <c r="C7" s="64">
        <v>2.0</v>
      </c>
      <c r="D7" s="30" t="s">
        <v>335</v>
      </c>
      <c r="E7" s="31" t="s">
        <v>336</v>
      </c>
      <c r="F7" s="32" t="s">
        <v>187</v>
      </c>
      <c r="G7" s="33" t="s">
        <v>58</v>
      </c>
      <c r="H7" s="34"/>
      <c r="I7" s="35"/>
    </row>
    <row r="8" ht="39.75" customHeight="1">
      <c r="B8" s="20"/>
      <c r="C8" s="63">
        <v>3.0</v>
      </c>
      <c r="D8" s="23" t="s">
        <v>337</v>
      </c>
      <c r="E8" s="24" t="s">
        <v>338</v>
      </c>
      <c r="F8" s="25" t="s">
        <v>187</v>
      </c>
      <c r="G8" s="26" t="s">
        <v>58</v>
      </c>
      <c r="H8" s="27"/>
      <c r="I8" s="28"/>
    </row>
    <row r="9" ht="39.75" customHeight="1">
      <c r="B9" s="20"/>
      <c r="C9" s="64">
        <v>4.0</v>
      </c>
      <c r="D9" s="30" t="s">
        <v>339</v>
      </c>
      <c r="E9" s="31" t="s">
        <v>340</v>
      </c>
      <c r="F9" s="32" t="s">
        <v>65</v>
      </c>
      <c r="G9" s="33" t="s">
        <v>58</v>
      </c>
      <c r="H9" s="34"/>
      <c r="I9" s="35"/>
    </row>
    <row r="10" ht="39.75" customHeight="1">
      <c r="B10" s="20"/>
      <c r="C10" s="63">
        <v>5.0</v>
      </c>
      <c r="D10" s="23" t="s">
        <v>341</v>
      </c>
      <c r="E10" s="24" t="s">
        <v>342</v>
      </c>
      <c r="F10" s="25" t="s">
        <v>65</v>
      </c>
      <c r="G10" s="26" t="s">
        <v>58</v>
      </c>
      <c r="H10" s="27"/>
      <c r="I10" s="28" t="s">
        <v>343</v>
      </c>
    </row>
    <row r="11" ht="39.75" customHeight="1">
      <c r="B11" s="20"/>
      <c r="C11" s="64">
        <v>6.0</v>
      </c>
      <c r="D11" s="30" t="s">
        <v>344</v>
      </c>
      <c r="E11" s="31" t="s">
        <v>345</v>
      </c>
      <c r="F11" s="32" t="s">
        <v>65</v>
      </c>
      <c r="G11" s="33" t="s">
        <v>58</v>
      </c>
      <c r="H11" s="34"/>
      <c r="I11" s="35"/>
    </row>
    <row r="12" ht="39.75" customHeight="1">
      <c r="B12" s="20"/>
      <c r="C12" s="63">
        <v>7.0</v>
      </c>
      <c r="D12" s="23" t="s">
        <v>346</v>
      </c>
      <c r="E12" s="24" t="s">
        <v>347</v>
      </c>
      <c r="F12" s="25" t="s">
        <v>65</v>
      </c>
      <c r="G12" s="26" t="s">
        <v>58</v>
      </c>
      <c r="H12" s="27"/>
      <c r="I12" s="28"/>
    </row>
    <row r="14" ht="21.75" customHeight="1">
      <c r="C14" s="11" t="s">
        <v>348</v>
      </c>
      <c r="D14" s="2"/>
      <c r="E14" s="2"/>
      <c r="F14" s="2"/>
      <c r="G14" s="2"/>
      <c r="H14" s="2"/>
      <c r="I14" s="3"/>
    </row>
    <row r="15" ht="39.75" customHeight="1">
      <c r="C15" s="65">
        <v>8.0</v>
      </c>
      <c r="D15" s="44" t="s">
        <v>349</v>
      </c>
      <c r="E15" s="45" t="s">
        <v>350</v>
      </c>
      <c r="F15" s="46" t="s">
        <v>228</v>
      </c>
      <c r="G15" s="47" t="s">
        <v>58</v>
      </c>
      <c r="H15" s="48"/>
      <c r="I15" s="49"/>
    </row>
    <row r="16" ht="39.75" customHeight="1">
      <c r="C16" s="66">
        <v>9.0</v>
      </c>
      <c r="D16" s="37" t="s">
        <v>351</v>
      </c>
      <c r="E16" s="38" t="s">
        <v>352</v>
      </c>
      <c r="F16" s="39" t="s">
        <v>228</v>
      </c>
      <c r="G16" s="40" t="s">
        <v>58</v>
      </c>
      <c r="H16" s="41"/>
      <c r="I16" s="42" t="s">
        <v>353</v>
      </c>
    </row>
    <row r="17" ht="39.75" customHeight="1">
      <c r="C17" s="65">
        <v>10.0</v>
      </c>
      <c r="D17" s="44" t="s">
        <v>354</v>
      </c>
      <c r="E17" s="45" t="s">
        <v>355</v>
      </c>
      <c r="F17" s="46" t="s">
        <v>356</v>
      </c>
      <c r="G17" s="47" t="s">
        <v>58</v>
      </c>
      <c r="H17" s="48"/>
      <c r="I17" s="49"/>
    </row>
    <row r="18" ht="39.75" customHeight="1">
      <c r="C18" s="66">
        <v>11.0</v>
      </c>
      <c r="D18" s="37" t="s">
        <v>357</v>
      </c>
      <c r="E18" s="38" t="s">
        <v>358</v>
      </c>
      <c r="F18" s="39" t="s">
        <v>359</v>
      </c>
      <c r="G18" s="40" t="s">
        <v>58</v>
      </c>
      <c r="H18" s="41"/>
      <c r="I18" s="42"/>
    </row>
    <row r="19" ht="39.75" customHeight="1">
      <c r="C19" s="65">
        <v>12.0</v>
      </c>
      <c r="D19" s="44" t="s">
        <v>360</v>
      </c>
      <c r="E19" s="45" t="s">
        <v>361</v>
      </c>
      <c r="F19" s="46" t="s">
        <v>362</v>
      </c>
      <c r="G19" s="47" t="s">
        <v>58</v>
      </c>
      <c r="H19" s="48"/>
      <c r="I19" s="49"/>
    </row>
    <row r="20" ht="39.75" customHeight="1">
      <c r="C20" s="66">
        <v>13.0</v>
      </c>
      <c r="D20" s="37" t="s">
        <v>363</v>
      </c>
      <c r="E20" s="38" t="s">
        <v>364</v>
      </c>
      <c r="F20" s="39" t="s">
        <v>68</v>
      </c>
      <c r="G20" s="40" t="s">
        <v>58</v>
      </c>
      <c r="H20" s="41"/>
      <c r="I20" s="42"/>
    </row>
    <row r="21" ht="39.75" customHeight="1">
      <c r="C21" s="65">
        <v>14.0</v>
      </c>
      <c r="D21" s="44" t="s">
        <v>365</v>
      </c>
      <c r="E21" s="45" t="s">
        <v>366</v>
      </c>
      <c r="F21" s="46" t="s">
        <v>367</v>
      </c>
      <c r="G21" s="47" t="s">
        <v>58</v>
      </c>
      <c r="H21" s="48"/>
      <c r="I21" s="49"/>
    </row>
    <row r="22" ht="15.75" customHeight="1"/>
    <row r="23" ht="21.75" customHeight="1">
      <c r="C23" s="11" t="s">
        <v>368</v>
      </c>
      <c r="D23" s="2"/>
      <c r="E23" s="2"/>
      <c r="F23" s="2"/>
      <c r="G23" s="2"/>
      <c r="H23" s="2"/>
      <c r="I23" s="3"/>
    </row>
    <row r="24" ht="39.75" customHeight="1">
      <c r="C24" s="66">
        <v>15.0</v>
      </c>
      <c r="D24" s="37" t="s">
        <v>369</v>
      </c>
      <c r="E24" s="38" t="s">
        <v>370</v>
      </c>
      <c r="F24" s="39" t="s">
        <v>228</v>
      </c>
      <c r="G24" s="40" t="s">
        <v>58</v>
      </c>
      <c r="H24" s="41"/>
      <c r="I24" s="42" t="s">
        <v>371</v>
      </c>
    </row>
    <row r="25" ht="39.75" customHeight="1">
      <c r="C25" s="65">
        <v>16.0</v>
      </c>
      <c r="D25" s="44" t="s">
        <v>372</v>
      </c>
      <c r="E25" s="45" t="s">
        <v>373</v>
      </c>
      <c r="F25" s="46" t="s">
        <v>228</v>
      </c>
      <c r="G25" s="47" t="s">
        <v>58</v>
      </c>
      <c r="H25" s="48"/>
      <c r="I25" s="49"/>
    </row>
    <row r="26" ht="39.75" customHeight="1">
      <c r="C26" s="66">
        <v>17.0</v>
      </c>
      <c r="D26" s="37" t="s">
        <v>374</v>
      </c>
      <c r="E26" s="38" t="s">
        <v>375</v>
      </c>
      <c r="F26" s="39" t="s">
        <v>187</v>
      </c>
      <c r="G26" s="40" t="s">
        <v>58</v>
      </c>
      <c r="H26" s="41"/>
      <c r="I26" s="42"/>
    </row>
    <row r="27" ht="39.75" customHeight="1">
      <c r="C27" s="65">
        <v>18.0</v>
      </c>
      <c r="D27" s="44" t="s">
        <v>376</v>
      </c>
      <c r="E27" s="45" t="s">
        <v>377</v>
      </c>
      <c r="F27" s="46" t="s">
        <v>359</v>
      </c>
      <c r="G27" s="47" t="s">
        <v>58</v>
      </c>
      <c r="H27" s="48"/>
      <c r="I27" s="49"/>
    </row>
    <row r="28" ht="39.75" customHeight="1">
      <c r="C28" s="66">
        <v>19.0</v>
      </c>
      <c r="D28" s="37" t="s">
        <v>378</v>
      </c>
      <c r="E28" s="38" t="s">
        <v>379</v>
      </c>
      <c r="F28" s="39" t="s">
        <v>359</v>
      </c>
      <c r="G28" s="40" t="s">
        <v>58</v>
      </c>
      <c r="H28" s="41"/>
      <c r="I28" s="42"/>
    </row>
    <row r="29" ht="39.75" customHeight="1">
      <c r="C29" s="65">
        <v>20.0</v>
      </c>
      <c r="D29" s="44" t="s">
        <v>380</v>
      </c>
      <c r="E29" s="45" t="s">
        <v>381</v>
      </c>
      <c r="F29" s="46" t="s">
        <v>79</v>
      </c>
      <c r="G29" s="47" t="s">
        <v>58</v>
      </c>
      <c r="H29" s="48"/>
      <c r="I29" s="49"/>
    </row>
    <row r="30" ht="39.75" customHeight="1">
      <c r="C30" s="66">
        <v>21.0</v>
      </c>
      <c r="D30" s="37" t="s">
        <v>382</v>
      </c>
      <c r="E30" s="38" t="s">
        <v>238</v>
      </c>
      <c r="F30" s="39" t="s">
        <v>359</v>
      </c>
      <c r="G30" s="40" t="s">
        <v>58</v>
      </c>
      <c r="H30" s="41"/>
      <c r="I30" s="42"/>
    </row>
    <row r="31" ht="39.75" customHeight="1">
      <c r="C31" s="65">
        <v>22.0</v>
      </c>
      <c r="D31" s="44" t="s">
        <v>383</v>
      </c>
      <c r="E31" s="45" t="s">
        <v>384</v>
      </c>
      <c r="F31" s="46" t="s">
        <v>385</v>
      </c>
      <c r="G31" s="47" t="s">
        <v>58</v>
      </c>
      <c r="H31" s="48"/>
      <c r="I31" s="4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I2"/>
    <mergeCell ref="B3:I3"/>
    <mergeCell ref="C5:I5"/>
    <mergeCell ref="C14:I14"/>
    <mergeCell ref="C23:I23"/>
  </mergeCells>
  <dataValidations>
    <dataValidation type="list" allowBlank="1" sqref="G6:G12 G15:G21 G24:G31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4.29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/>
    <row r="2" ht="45.0" customHeight="1">
      <c r="B2" s="67" t="s">
        <v>386</v>
      </c>
      <c r="C2" s="2"/>
      <c r="D2" s="2"/>
      <c r="E2" s="2"/>
      <c r="F2" s="2"/>
      <c r="G2" s="2"/>
      <c r="H2" s="2"/>
      <c r="I2" s="3"/>
    </row>
    <row r="3" ht="21.75" customHeight="1">
      <c r="B3" s="19" t="str">
        <f>COUNTIF(G5:G36,"✅ OK")&amp;" de 23 itens concluídos  |  "&amp;COUNTIF(G5:G36,"❌ Pendente")&amp;" pendentes  |  "&amp;COUNTIF(G5:G36,"⚠️ Atenção")&amp;" com atenção"</f>
        <v>0 de 23 itens concluídos  |  23 pendentes  |  0 com atenção</v>
      </c>
      <c r="C3" s="2"/>
      <c r="D3" s="2"/>
      <c r="E3" s="2"/>
      <c r="F3" s="2"/>
      <c r="G3" s="2"/>
      <c r="H3" s="2"/>
      <c r="I3" s="3"/>
    </row>
    <row r="4" ht="24.0" customHeight="1">
      <c r="B4" s="20"/>
      <c r="C4" s="52" t="s">
        <v>47</v>
      </c>
      <c r="D4" s="52" t="s">
        <v>48</v>
      </c>
      <c r="E4" s="52" t="s">
        <v>49</v>
      </c>
      <c r="F4" s="52" t="s">
        <v>50</v>
      </c>
      <c r="G4" s="52" t="s">
        <v>51</v>
      </c>
      <c r="H4" s="52" t="s">
        <v>52</v>
      </c>
      <c r="I4" s="52" t="s">
        <v>53</v>
      </c>
    </row>
    <row r="5" ht="21.75" customHeight="1">
      <c r="B5" s="20"/>
      <c r="C5" s="5" t="s">
        <v>387</v>
      </c>
      <c r="D5" s="2"/>
      <c r="E5" s="2"/>
      <c r="F5" s="2"/>
      <c r="G5" s="2"/>
      <c r="H5" s="2"/>
      <c r="I5" s="3"/>
    </row>
    <row r="6" ht="39.75" customHeight="1">
      <c r="B6" s="20"/>
      <c r="C6" s="53">
        <v>1.0</v>
      </c>
      <c r="D6" s="23" t="s">
        <v>388</v>
      </c>
      <c r="E6" s="24" t="s">
        <v>389</v>
      </c>
      <c r="F6" s="25" t="s">
        <v>228</v>
      </c>
      <c r="G6" s="26" t="s">
        <v>58</v>
      </c>
      <c r="H6" s="27"/>
      <c r="I6" s="28" t="s">
        <v>390</v>
      </c>
    </row>
    <row r="7" ht="39.75" customHeight="1">
      <c r="B7" s="20"/>
      <c r="C7" s="54">
        <v>2.0</v>
      </c>
      <c r="D7" s="30" t="s">
        <v>391</v>
      </c>
      <c r="E7" s="31" t="s">
        <v>392</v>
      </c>
      <c r="F7" s="32" t="s">
        <v>393</v>
      </c>
      <c r="G7" s="33" t="s">
        <v>58</v>
      </c>
      <c r="H7" s="34"/>
      <c r="I7" s="35"/>
    </row>
    <row r="8" ht="39.75" customHeight="1">
      <c r="B8" s="20"/>
      <c r="C8" s="53">
        <v>3.0</v>
      </c>
      <c r="D8" s="23" t="s">
        <v>394</v>
      </c>
      <c r="E8" s="24" t="s">
        <v>395</v>
      </c>
      <c r="F8" s="25" t="s">
        <v>79</v>
      </c>
      <c r="G8" s="26" t="s">
        <v>58</v>
      </c>
      <c r="H8" s="27"/>
      <c r="I8" s="28" t="s">
        <v>396</v>
      </c>
    </row>
    <row r="9" ht="39.75" customHeight="1">
      <c r="B9" s="20"/>
      <c r="C9" s="54">
        <v>4.0</v>
      </c>
      <c r="D9" s="30" t="s">
        <v>397</v>
      </c>
      <c r="E9" s="31" t="s">
        <v>398</v>
      </c>
      <c r="F9" s="32" t="s">
        <v>399</v>
      </c>
      <c r="G9" s="33" t="s">
        <v>58</v>
      </c>
      <c r="H9" s="34"/>
      <c r="I9" s="35"/>
    </row>
    <row r="10" ht="39.75" customHeight="1">
      <c r="B10" s="20"/>
      <c r="C10" s="53">
        <v>5.0</v>
      </c>
      <c r="D10" s="23" t="s">
        <v>400</v>
      </c>
      <c r="E10" s="24" t="s">
        <v>401</v>
      </c>
      <c r="F10" s="25" t="s">
        <v>402</v>
      </c>
      <c r="G10" s="26" t="s">
        <v>58</v>
      </c>
      <c r="H10" s="27"/>
      <c r="I10" s="28"/>
    </row>
    <row r="11" ht="39.75" customHeight="1">
      <c r="B11" s="20"/>
      <c r="C11" s="54">
        <v>6.0</v>
      </c>
      <c r="D11" s="30" t="s">
        <v>403</v>
      </c>
      <c r="E11" s="31" t="s">
        <v>404</v>
      </c>
      <c r="F11" s="32" t="s">
        <v>405</v>
      </c>
      <c r="G11" s="33" t="s">
        <v>58</v>
      </c>
      <c r="H11" s="34"/>
      <c r="I11" s="35"/>
    </row>
    <row r="12">
      <c r="B12" s="20"/>
      <c r="C12" s="20"/>
      <c r="D12" s="20"/>
      <c r="E12" s="20"/>
      <c r="F12" s="20"/>
      <c r="G12" s="20"/>
      <c r="H12" s="20"/>
      <c r="I12" s="20"/>
    </row>
    <row r="13" ht="21.75" customHeight="1">
      <c r="B13" s="20"/>
      <c r="C13" s="5" t="s">
        <v>406</v>
      </c>
      <c r="D13" s="2"/>
      <c r="E13" s="2"/>
      <c r="F13" s="2"/>
      <c r="G13" s="2"/>
      <c r="H13" s="2"/>
      <c r="I13" s="3"/>
    </row>
    <row r="14" ht="39.75" customHeight="1">
      <c r="B14" s="20"/>
      <c r="C14" s="53">
        <v>7.0</v>
      </c>
      <c r="D14" s="23" t="s">
        <v>407</v>
      </c>
      <c r="E14" s="24" t="s">
        <v>408</v>
      </c>
      <c r="F14" s="25" t="s">
        <v>68</v>
      </c>
      <c r="G14" s="26" t="s">
        <v>58</v>
      </c>
      <c r="H14" s="27"/>
      <c r="I14" s="28" t="s">
        <v>409</v>
      </c>
    </row>
    <row r="15" ht="39.75" customHeight="1">
      <c r="B15" s="20"/>
      <c r="C15" s="54">
        <v>8.0</v>
      </c>
      <c r="D15" s="30" t="s">
        <v>410</v>
      </c>
      <c r="E15" s="31" t="s">
        <v>411</v>
      </c>
      <c r="F15" s="32" t="s">
        <v>187</v>
      </c>
      <c r="G15" s="33" t="s">
        <v>58</v>
      </c>
      <c r="H15" s="34"/>
      <c r="I15" s="35"/>
    </row>
    <row r="16" ht="39.75" customHeight="1">
      <c r="B16" s="20"/>
      <c r="C16" s="53">
        <v>9.0</v>
      </c>
      <c r="D16" s="23" t="s">
        <v>412</v>
      </c>
      <c r="E16" s="24" t="s">
        <v>413</v>
      </c>
      <c r="F16" s="25" t="s">
        <v>68</v>
      </c>
      <c r="G16" s="26" t="s">
        <v>58</v>
      </c>
      <c r="H16" s="27"/>
      <c r="I16" s="28" t="s">
        <v>216</v>
      </c>
    </row>
    <row r="17" ht="39.75" customHeight="1">
      <c r="B17" s="20"/>
      <c r="C17" s="54">
        <v>10.0</v>
      </c>
      <c r="D17" s="30" t="s">
        <v>414</v>
      </c>
      <c r="E17" s="31" t="s">
        <v>415</v>
      </c>
      <c r="F17" s="32" t="s">
        <v>68</v>
      </c>
      <c r="G17" s="33" t="s">
        <v>58</v>
      </c>
      <c r="H17" s="34"/>
      <c r="I17" s="35" t="s">
        <v>416</v>
      </c>
    </row>
    <row r="18" ht="39.75" customHeight="1">
      <c r="B18" s="20"/>
      <c r="C18" s="53">
        <v>11.0</v>
      </c>
      <c r="D18" s="23" t="s">
        <v>417</v>
      </c>
      <c r="E18" s="24" t="s">
        <v>418</v>
      </c>
      <c r="F18" s="25" t="s">
        <v>68</v>
      </c>
      <c r="G18" s="26" t="s">
        <v>58</v>
      </c>
      <c r="H18" s="27"/>
      <c r="I18" s="28"/>
    </row>
    <row r="20" ht="21.75" customHeight="1">
      <c r="C20" s="11" t="s">
        <v>419</v>
      </c>
      <c r="D20" s="2"/>
      <c r="E20" s="2"/>
      <c r="F20" s="2"/>
      <c r="G20" s="2"/>
      <c r="H20" s="2"/>
      <c r="I20" s="3"/>
    </row>
    <row r="21" ht="39.75" customHeight="1">
      <c r="C21" s="68">
        <v>12.0</v>
      </c>
      <c r="D21" s="44" t="s">
        <v>420</v>
      </c>
      <c r="E21" s="45" t="s">
        <v>421</v>
      </c>
      <c r="F21" s="46" t="s">
        <v>359</v>
      </c>
      <c r="G21" s="47" t="s">
        <v>58</v>
      </c>
      <c r="H21" s="48"/>
      <c r="I21" s="49"/>
    </row>
    <row r="22" ht="39.75" customHeight="1">
      <c r="C22" s="69">
        <v>13.0</v>
      </c>
      <c r="D22" s="37" t="s">
        <v>422</v>
      </c>
      <c r="E22" s="38" t="s">
        <v>423</v>
      </c>
      <c r="F22" s="39" t="s">
        <v>424</v>
      </c>
      <c r="G22" s="40" t="s">
        <v>58</v>
      </c>
      <c r="H22" s="41"/>
      <c r="I22" s="42" t="s">
        <v>425</v>
      </c>
    </row>
    <row r="23" ht="39.75" customHeight="1">
      <c r="C23" s="68">
        <v>14.0</v>
      </c>
      <c r="D23" s="44" t="s">
        <v>426</v>
      </c>
      <c r="E23" s="45" t="s">
        <v>427</v>
      </c>
      <c r="F23" s="46" t="s">
        <v>359</v>
      </c>
      <c r="G23" s="47" t="s">
        <v>58</v>
      </c>
      <c r="H23" s="48"/>
      <c r="I23" s="49"/>
    </row>
    <row r="24" ht="39.75" customHeight="1">
      <c r="C24" s="69">
        <v>15.0</v>
      </c>
      <c r="D24" s="37" t="s">
        <v>428</v>
      </c>
      <c r="E24" s="38" t="s">
        <v>429</v>
      </c>
      <c r="F24" s="39" t="s">
        <v>79</v>
      </c>
      <c r="G24" s="40" t="s">
        <v>58</v>
      </c>
      <c r="H24" s="41"/>
      <c r="I24" s="42"/>
    </row>
    <row r="25" ht="39.75" customHeight="1">
      <c r="C25" s="68">
        <v>16.0</v>
      </c>
      <c r="D25" s="44" t="s">
        <v>430</v>
      </c>
      <c r="E25" s="45" t="s">
        <v>431</v>
      </c>
      <c r="F25" s="46" t="s">
        <v>424</v>
      </c>
      <c r="G25" s="47" t="s">
        <v>58</v>
      </c>
      <c r="H25" s="48"/>
      <c r="I25" s="49"/>
    </row>
    <row r="26" ht="39.75" customHeight="1">
      <c r="C26" s="69">
        <v>17.0</v>
      </c>
      <c r="D26" s="37" t="s">
        <v>432</v>
      </c>
      <c r="E26" s="38" t="s">
        <v>433</v>
      </c>
      <c r="F26" s="39" t="s">
        <v>359</v>
      </c>
      <c r="G26" s="40" t="s">
        <v>58</v>
      </c>
      <c r="H26" s="41"/>
      <c r="I26" s="42"/>
    </row>
    <row r="27" ht="15.75" customHeight="1"/>
    <row r="28" ht="21.75" customHeight="1">
      <c r="C28" s="11" t="s">
        <v>434</v>
      </c>
      <c r="D28" s="2"/>
      <c r="E28" s="2"/>
      <c r="F28" s="2"/>
      <c r="G28" s="2"/>
      <c r="H28" s="2"/>
      <c r="I28" s="3"/>
    </row>
    <row r="29" ht="39.75" customHeight="1">
      <c r="C29" s="68">
        <v>18.0</v>
      </c>
      <c r="D29" s="44" t="s">
        <v>435</v>
      </c>
      <c r="E29" s="45" t="s">
        <v>436</v>
      </c>
      <c r="F29" s="46" t="s">
        <v>253</v>
      </c>
      <c r="G29" s="47" t="s">
        <v>58</v>
      </c>
      <c r="H29" s="48"/>
      <c r="I29" s="49" t="s">
        <v>437</v>
      </c>
    </row>
    <row r="30" ht="39.75" customHeight="1">
      <c r="C30" s="69">
        <v>19.0</v>
      </c>
      <c r="D30" s="37" t="s">
        <v>438</v>
      </c>
      <c r="E30" s="38" t="s">
        <v>439</v>
      </c>
      <c r="F30" s="39" t="s">
        <v>256</v>
      </c>
      <c r="G30" s="40" t="s">
        <v>58</v>
      </c>
      <c r="H30" s="41"/>
      <c r="I30" s="42"/>
    </row>
    <row r="31" ht="39.75" customHeight="1">
      <c r="C31" s="68">
        <v>20.0</v>
      </c>
      <c r="D31" s="44" t="s">
        <v>440</v>
      </c>
      <c r="E31" s="45" t="s">
        <v>441</v>
      </c>
      <c r="F31" s="46" t="s">
        <v>256</v>
      </c>
      <c r="G31" s="47" t="s">
        <v>58</v>
      </c>
      <c r="H31" s="48"/>
      <c r="I31" s="49"/>
    </row>
    <row r="32" ht="39.75" customHeight="1">
      <c r="C32" s="69">
        <v>21.0</v>
      </c>
      <c r="D32" s="37" t="s">
        <v>442</v>
      </c>
      <c r="E32" s="38" t="s">
        <v>443</v>
      </c>
      <c r="F32" s="39" t="s">
        <v>256</v>
      </c>
      <c r="G32" s="40" t="s">
        <v>58</v>
      </c>
      <c r="H32" s="41"/>
      <c r="I32" s="42"/>
    </row>
    <row r="33" ht="39.75" customHeight="1">
      <c r="C33" s="68">
        <v>22.0</v>
      </c>
      <c r="D33" s="44" t="s">
        <v>444</v>
      </c>
      <c r="E33" s="45" t="s">
        <v>445</v>
      </c>
      <c r="F33" s="46" t="s">
        <v>256</v>
      </c>
      <c r="G33" s="47" t="s">
        <v>58</v>
      </c>
      <c r="H33" s="48"/>
      <c r="I33" s="49"/>
    </row>
    <row r="34" ht="39.75" customHeight="1">
      <c r="C34" s="69">
        <v>23.0</v>
      </c>
      <c r="D34" s="37" t="s">
        <v>446</v>
      </c>
      <c r="E34" s="38" t="s">
        <v>447</v>
      </c>
      <c r="F34" s="39" t="s">
        <v>65</v>
      </c>
      <c r="G34" s="40" t="s">
        <v>58</v>
      </c>
      <c r="H34" s="41"/>
      <c r="I34" s="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I2"/>
    <mergeCell ref="B3:I3"/>
    <mergeCell ref="C5:I5"/>
    <mergeCell ref="C13:I13"/>
    <mergeCell ref="C20:I20"/>
    <mergeCell ref="C28:I28"/>
  </mergeCells>
  <dataValidations>
    <dataValidation type="list" allowBlank="1" sqref="G6:G11 G14:G18 G21:G26 G29:G34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9.43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45.0" customHeight="1">
      <c r="A2" s="20"/>
      <c r="B2" s="70" t="s">
        <v>448</v>
      </c>
      <c r="C2" s="2"/>
      <c r="D2" s="2"/>
      <c r="E2" s="2"/>
      <c r="F2" s="2"/>
      <c r="G2" s="2"/>
      <c r="H2" s="2"/>
      <c r="I2" s="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20"/>
      <c r="B3" s="19" t="str">
        <f>COUNTIF(G5:G38,"✅ OK")&amp;" de 25 itens concluídos  |  "&amp;COUNTIF(G5:G38,"❌ Pendente")&amp;" pendentes  |  "&amp;COUNTIF(G5:G38,"⚠️ Atenção")&amp;" com atenção"</f>
        <v>0 de 25 itens concluídos  |  25 pendentes  |  0 com atenção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0" customHeight="1">
      <c r="A4" s="20"/>
      <c r="B4" s="20"/>
      <c r="C4" s="71" t="s">
        <v>47</v>
      </c>
      <c r="D4" s="71" t="s">
        <v>48</v>
      </c>
      <c r="E4" s="71" t="s">
        <v>49</v>
      </c>
      <c r="F4" s="71" t="s">
        <v>50</v>
      </c>
      <c r="G4" s="71" t="s">
        <v>51</v>
      </c>
      <c r="H4" s="71" t="s">
        <v>52</v>
      </c>
      <c r="I4" s="71" t="s">
        <v>53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75" customHeight="1">
      <c r="A5" s="20"/>
      <c r="B5" s="20"/>
      <c r="C5" s="5" t="s">
        <v>449</v>
      </c>
      <c r="D5" s="2"/>
      <c r="E5" s="2"/>
      <c r="F5" s="2"/>
      <c r="G5" s="2"/>
      <c r="H5" s="2"/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9.75" customHeight="1">
      <c r="A6" s="20"/>
      <c r="B6" s="20"/>
      <c r="C6" s="72">
        <v>1.0</v>
      </c>
      <c r="D6" s="23" t="s">
        <v>450</v>
      </c>
      <c r="E6" s="24" t="s">
        <v>451</v>
      </c>
      <c r="F6" s="25" t="s">
        <v>68</v>
      </c>
      <c r="G6" s="26" t="s">
        <v>58</v>
      </c>
      <c r="H6" s="27"/>
      <c r="I6" s="2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9.75" customHeight="1">
      <c r="A7" s="20"/>
      <c r="B7" s="20"/>
      <c r="C7" s="73">
        <v>2.0</v>
      </c>
      <c r="D7" s="30" t="s">
        <v>452</v>
      </c>
      <c r="E7" s="31" t="s">
        <v>453</v>
      </c>
      <c r="F7" s="32" t="s">
        <v>68</v>
      </c>
      <c r="G7" s="33" t="s">
        <v>58</v>
      </c>
      <c r="H7" s="34"/>
      <c r="I7" s="35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9.75" customHeight="1">
      <c r="A8" s="20"/>
      <c r="B8" s="20"/>
      <c r="C8" s="72">
        <v>3.0</v>
      </c>
      <c r="D8" s="23" t="s">
        <v>454</v>
      </c>
      <c r="E8" s="24" t="s">
        <v>455</v>
      </c>
      <c r="F8" s="25" t="s">
        <v>68</v>
      </c>
      <c r="G8" s="26" t="s">
        <v>58</v>
      </c>
      <c r="H8" s="27"/>
      <c r="I8" s="28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9.75" customHeight="1">
      <c r="A9" s="20"/>
      <c r="B9" s="20"/>
      <c r="C9" s="73">
        <v>4.0</v>
      </c>
      <c r="D9" s="30" t="s">
        <v>456</v>
      </c>
      <c r="E9" s="31" t="s">
        <v>457</v>
      </c>
      <c r="F9" s="32" t="s">
        <v>68</v>
      </c>
      <c r="G9" s="33" t="s">
        <v>58</v>
      </c>
      <c r="H9" s="34"/>
      <c r="I9" s="35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9.75" customHeight="1">
      <c r="A10" s="20"/>
      <c r="B10" s="20"/>
      <c r="C10" s="72">
        <v>5.0</v>
      </c>
      <c r="D10" s="23" t="s">
        <v>458</v>
      </c>
      <c r="E10" s="24" t="s">
        <v>459</v>
      </c>
      <c r="F10" s="25" t="s">
        <v>68</v>
      </c>
      <c r="G10" s="26" t="s">
        <v>58</v>
      </c>
      <c r="H10" s="27"/>
      <c r="I10" s="2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9.75" customHeight="1">
      <c r="A11" s="20"/>
      <c r="B11" s="20"/>
      <c r="C11" s="73">
        <v>6.0</v>
      </c>
      <c r="D11" s="30" t="s">
        <v>460</v>
      </c>
      <c r="E11" s="31" t="s">
        <v>461</v>
      </c>
      <c r="F11" s="32" t="s">
        <v>68</v>
      </c>
      <c r="G11" s="33" t="s">
        <v>58</v>
      </c>
      <c r="H11" s="34"/>
      <c r="I11" s="35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1.75" customHeight="1">
      <c r="A13" s="20"/>
      <c r="B13" s="20"/>
      <c r="C13" s="5" t="s">
        <v>462</v>
      </c>
      <c r="D13" s="2"/>
      <c r="E13" s="2"/>
      <c r="F13" s="2"/>
      <c r="G13" s="2"/>
      <c r="H13" s="2"/>
      <c r="I13" s="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9.75" customHeight="1">
      <c r="A14" s="20"/>
      <c r="B14" s="20"/>
      <c r="C14" s="72">
        <v>7.0</v>
      </c>
      <c r="D14" s="23" t="s">
        <v>463</v>
      </c>
      <c r="E14" s="24" t="s">
        <v>464</v>
      </c>
      <c r="F14" s="25" t="s">
        <v>68</v>
      </c>
      <c r="G14" s="26" t="s">
        <v>58</v>
      </c>
      <c r="H14" s="27"/>
      <c r="I14" s="28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9.75" customHeight="1">
      <c r="A15" s="20"/>
      <c r="B15" s="20"/>
      <c r="C15" s="73">
        <v>8.0</v>
      </c>
      <c r="D15" s="30" t="s">
        <v>465</v>
      </c>
      <c r="E15" s="31" t="s">
        <v>466</v>
      </c>
      <c r="F15" s="32" t="s">
        <v>68</v>
      </c>
      <c r="G15" s="33" t="s">
        <v>58</v>
      </c>
      <c r="H15" s="34"/>
      <c r="I15" s="35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9.75" customHeight="1">
      <c r="A16" s="20"/>
      <c r="B16" s="20"/>
      <c r="C16" s="72">
        <v>9.0</v>
      </c>
      <c r="D16" s="23" t="s">
        <v>467</v>
      </c>
      <c r="E16" s="24" t="s">
        <v>468</v>
      </c>
      <c r="F16" s="25" t="s">
        <v>68</v>
      </c>
      <c r="G16" s="26" t="s">
        <v>58</v>
      </c>
      <c r="H16" s="27"/>
      <c r="I16" s="2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9.75" customHeight="1">
      <c r="A17" s="20"/>
      <c r="B17" s="20"/>
      <c r="C17" s="73">
        <v>10.0</v>
      </c>
      <c r="D17" s="30" t="s">
        <v>469</v>
      </c>
      <c r="E17" s="31" t="s">
        <v>470</v>
      </c>
      <c r="F17" s="32" t="s">
        <v>68</v>
      </c>
      <c r="G17" s="33" t="s">
        <v>58</v>
      </c>
      <c r="H17" s="34"/>
      <c r="I17" s="35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1.75" customHeight="1">
      <c r="A19" s="20"/>
      <c r="B19" s="20"/>
      <c r="C19" s="5" t="s">
        <v>471</v>
      </c>
      <c r="D19" s="2"/>
      <c r="E19" s="2"/>
      <c r="F19" s="2"/>
      <c r="G19" s="2"/>
      <c r="H19" s="2"/>
      <c r="I19" s="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9.75" customHeight="1">
      <c r="A20" s="20"/>
      <c r="B20" s="20"/>
      <c r="C20" s="72">
        <v>11.0</v>
      </c>
      <c r="D20" s="23" t="s">
        <v>472</v>
      </c>
      <c r="E20" s="24" t="s">
        <v>473</v>
      </c>
      <c r="F20" s="25" t="s">
        <v>65</v>
      </c>
      <c r="G20" s="26" t="s">
        <v>58</v>
      </c>
      <c r="H20" s="27"/>
      <c r="I20" s="2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9.75" customHeight="1">
      <c r="A21" s="20"/>
      <c r="B21" s="20"/>
      <c r="C21" s="73">
        <v>12.0</v>
      </c>
      <c r="D21" s="30" t="s">
        <v>474</v>
      </c>
      <c r="E21" s="31" t="s">
        <v>475</v>
      </c>
      <c r="F21" s="32" t="s">
        <v>65</v>
      </c>
      <c r="G21" s="33" t="s">
        <v>58</v>
      </c>
      <c r="H21" s="34"/>
      <c r="I21" s="35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9.75" customHeight="1">
      <c r="A22" s="20"/>
      <c r="B22" s="20"/>
      <c r="C22" s="72">
        <v>13.0</v>
      </c>
      <c r="D22" s="23" t="s">
        <v>476</v>
      </c>
      <c r="E22" s="24" t="s">
        <v>477</v>
      </c>
      <c r="F22" s="25" t="s">
        <v>65</v>
      </c>
      <c r="G22" s="26" t="s">
        <v>58</v>
      </c>
      <c r="H22" s="27"/>
      <c r="I22" s="2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9.75" customHeight="1">
      <c r="A23" s="20"/>
      <c r="B23" s="20"/>
      <c r="C23" s="73">
        <v>14.0</v>
      </c>
      <c r="D23" s="30" t="s">
        <v>478</v>
      </c>
      <c r="E23" s="31" t="s">
        <v>479</v>
      </c>
      <c r="F23" s="32" t="s">
        <v>65</v>
      </c>
      <c r="G23" s="33" t="s">
        <v>58</v>
      </c>
      <c r="H23" s="34"/>
      <c r="I23" s="35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9.75" customHeight="1">
      <c r="A24" s="20"/>
      <c r="B24" s="20"/>
      <c r="C24" s="72">
        <v>15.0</v>
      </c>
      <c r="D24" s="23" t="s">
        <v>480</v>
      </c>
      <c r="E24" s="24" t="s">
        <v>481</v>
      </c>
      <c r="F24" s="25" t="s">
        <v>65</v>
      </c>
      <c r="G24" s="26" t="s">
        <v>58</v>
      </c>
      <c r="H24" s="27"/>
      <c r="I24" s="2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9.75" customHeight="1">
      <c r="A25" s="20"/>
      <c r="B25" s="20"/>
      <c r="C25" s="73">
        <v>16.0</v>
      </c>
      <c r="D25" s="30" t="s">
        <v>482</v>
      </c>
      <c r="E25" s="31" t="s">
        <v>483</v>
      </c>
      <c r="F25" s="32" t="s">
        <v>65</v>
      </c>
      <c r="G25" s="33" t="s">
        <v>58</v>
      </c>
      <c r="H25" s="34"/>
      <c r="I25" s="35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9.75" customHeight="1">
      <c r="A26" s="20"/>
      <c r="B26" s="20"/>
      <c r="C26" s="72">
        <v>17.0</v>
      </c>
      <c r="D26" s="23" t="s">
        <v>484</v>
      </c>
      <c r="E26" s="24" t="s">
        <v>485</v>
      </c>
      <c r="F26" s="25" t="s">
        <v>65</v>
      </c>
      <c r="G26" s="26" t="s">
        <v>58</v>
      </c>
      <c r="H26" s="27"/>
      <c r="I26" s="2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39.75" customHeight="1">
      <c r="A27" s="20"/>
      <c r="B27" s="20"/>
      <c r="C27" s="73">
        <v>18.0</v>
      </c>
      <c r="D27" s="30" t="s">
        <v>486</v>
      </c>
      <c r="E27" s="31" t="s">
        <v>487</v>
      </c>
      <c r="F27" s="32" t="s">
        <v>65</v>
      </c>
      <c r="G27" s="33" t="s">
        <v>58</v>
      </c>
      <c r="H27" s="34"/>
      <c r="I27" s="3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39.75" customHeight="1">
      <c r="A28" s="20"/>
      <c r="B28" s="20"/>
      <c r="C28" s="72">
        <v>19.0</v>
      </c>
      <c r="D28" s="23" t="s">
        <v>488</v>
      </c>
      <c r="E28" s="24" t="s">
        <v>489</v>
      </c>
      <c r="F28" s="25" t="s">
        <v>65</v>
      </c>
      <c r="G28" s="26" t="s">
        <v>58</v>
      </c>
      <c r="H28" s="27"/>
      <c r="I28" s="2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39.75" customHeight="1">
      <c r="A29" s="20"/>
      <c r="B29" s="20"/>
      <c r="C29" s="73">
        <v>20.0</v>
      </c>
      <c r="D29" s="30" t="s">
        <v>490</v>
      </c>
      <c r="E29" s="31" t="s">
        <v>491</v>
      </c>
      <c r="F29" s="32" t="s">
        <v>65</v>
      </c>
      <c r="G29" s="33" t="s">
        <v>58</v>
      </c>
      <c r="H29" s="34"/>
      <c r="I29" s="35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39.75" customHeight="1">
      <c r="A30" s="20"/>
      <c r="B30" s="20"/>
      <c r="C30" s="72">
        <v>21.0</v>
      </c>
      <c r="D30" s="23" t="s">
        <v>492</v>
      </c>
      <c r="E30" s="24" t="s">
        <v>493</v>
      </c>
      <c r="F30" s="25" t="s">
        <v>65</v>
      </c>
      <c r="G30" s="26" t="s">
        <v>58</v>
      </c>
      <c r="H30" s="27"/>
      <c r="I30" s="2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39.75" customHeight="1">
      <c r="A31" s="20"/>
      <c r="B31" s="20"/>
      <c r="C31" s="73">
        <v>22.0</v>
      </c>
      <c r="D31" s="30" t="s">
        <v>494</v>
      </c>
      <c r="E31" s="31" t="s">
        <v>495</v>
      </c>
      <c r="F31" s="32" t="s">
        <v>65</v>
      </c>
      <c r="G31" s="33" t="s">
        <v>58</v>
      </c>
      <c r="H31" s="34"/>
      <c r="I31" s="3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1.75" customHeight="1">
      <c r="A33" s="20"/>
      <c r="B33" s="20"/>
      <c r="C33" s="5" t="s">
        <v>496</v>
      </c>
      <c r="D33" s="2"/>
      <c r="E33" s="2"/>
      <c r="F33" s="2"/>
      <c r="G33" s="2"/>
      <c r="H33" s="2"/>
      <c r="I33" s="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39.75" customHeight="1">
      <c r="A34" s="20"/>
      <c r="B34" s="20"/>
      <c r="C34" s="72">
        <v>23.0</v>
      </c>
      <c r="D34" s="23" t="s">
        <v>497</v>
      </c>
      <c r="E34" s="24" t="s">
        <v>498</v>
      </c>
      <c r="F34" s="25" t="s">
        <v>68</v>
      </c>
      <c r="G34" s="26" t="s">
        <v>58</v>
      </c>
      <c r="H34" s="27"/>
      <c r="I34" s="28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39.75" customHeight="1">
      <c r="A35" s="20"/>
      <c r="B35" s="20"/>
      <c r="C35" s="73">
        <v>24.0</v>
      </c>
      <c r="D35" s="30" t="s">
        <v>499</v>
      </c>
      <c r="E35" s="31" t="s">
        <v>500</v>
      </c>
      <c r="F35" s="32" t="s">
        <v>68</v>
      </c>
      <c r="G35" s="33" t="s">
        <v>58</v>
      </c>
      <c r="H35" s="34"/>
      <c r="I35" s="35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39.75" customHeight="1">
      <c r="A36" s="20"/>
      <c r="B36" s="20"/>
      <c r="C36" s="72">
        <v>25.0</v>
      </c>
      <c r="D36" s="23" t="s">
        <v>501</v>
      </c>
      <c r="E36" s="24" t="s">
        <v>502</v>
      </c>
      <c r="F36" s="25" t="s">
        <v>68</v>
      </c>
      <c r="G36" s="26" t="s">
        <v>58</v>
      </c>
      <c r="H36" s="27"/>
      <c r="I36" s="28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B2:I2"/>
    <mergeCell ref="B3:I3"/>
    <mergeCell ref="C5:I5"/>
    <mergeCell ref="C13:I13"/>
    <mergeCell ref="C19:I19"/>
    <mergeCell ref="C33:I33"/>
  </mergeCells>
  <dataValidations>
    <dataValidation type="list" allowBlank="1" sqref="G6:G11 G14:G17 G20:G31 G34:G36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2.86"/>
    <col customWidth="1" min="4" max="4" width="50.0"/>
    <col customWidth="1" min="5" max="5" width="22.0"/>
    <col customWidth="1" min="6" max="7" width="15.0"/>
    <col customWidth="1" min="8" max="8" width="22.0"/>
    <col customWidth="1" min="9" max="9" width="30.0"/>
    <col customWidth="1" min="10" max="26" width="8.71"/>
  </cols>
  <sheetData>
    <row r="1" ht="9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45.0" customHeight="1">
      <c r="A2" s="20"/>
      <c r="B2" s="74" t="s">
        <v>503</v>
      </c>
      <c r="C2" s="2"/>
      <c r="D2" s="2"/>
      <c r="E2" s="2"/>
      <c r="F2" s="2"/>
      <c r="G2" s="2"/>
      <c r="H2" s="2"/>
      <c r="I2" s="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20"/>
      <c r="B3" s="19" t="str">
        <f>COUNTIF(G5:G40,"✅ OK")&amp;" de 27 itens concluídos  |  "&amp;COUNTIF(G5:G40,"❌ Pendente")&amp;" pendentes  |  "&amp;COUNTIF(G5:G40,"⚠️ Atenção")&amp;" com atenção"</f>
        <v>0 de 27 itens concluídos  |  27 pendentes  |  0 com atenção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0" customHeight="1">
      <c r="A4" s="20"/>
      <c r="B4" s="20"/>
      <c r="C4" s="75" t="s">
        <v>47</v>
      </c>
      <c r="D4" s="75" t="s">
        <v>48</v>
      </c>
      <c r="E4" s="75" t="s">
        <v>49</v>
      </c>
      <c r="F4" s="75" t="s">
        <v>50</v>
      </c>
      <c r="G4" s="75" t="s">
        <v>51</v>
      </c>
      <c r="H4" s="75" t="s">
        <v>52</v>
      </c>
      <c r="I4" s="75" t="s">
        <v>53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75" customHeight="1">
      <c r="A5" s="20"/>
      <c r="B5" s="20"/>
      <c r="C5" s="5" t="s">
        <v>504</v>
      </c>
      <c r="D5" s="2"/>
      <c r="E5" s="2"/>
      <c r="F5" s="2"/>
      <c r="G5" s="2"/>
      <c r="H5" s="2"/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9.75" customHeight="1">
      <c r="A6" s="20"/>
      <c r="B6" s="20"/>
      <c r="C6" s="76">
        <v>1.0</v>
      </c>
      <c r="D6" s="23" t="s">
        <v>505</v>
      </c>
      <c r="E6" s="24" t="s">
        <v>506</v>
      </c>
      <c r="F6" s="25" t="s">
        <v>187</v>
      </c>
      <c r="G6" s="26" t="s">
        <v>58</v>
      </c>
      <c r="H6" s="27"/>
      <c r="I6" s="2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9.75" customHeight="1">
      <c r="A7" s="20"/>
      <c r="B7" s="20"/>
      <c r="C7" s="77">
        <v>2.0</v>
      </c>
      <c r="D7" s="30" t="s">
        <v>507</v>
      </c>
      <c r="E7" s="31" t="s">
        <v>508</v>
      </c>
      <c r="F7" s="32" t="s">
        <v>228</v>
      </c>
      <c r="G7" s="33" t="s">
        <v>58</v>
      </c>
      <c r="H7" s="34"/>
      <c r="I7" s="35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9.75" customHeight="1">
      <c r="A8" s="20"/>
      <c r="B8" s="20"/>
      <c r="C8" s="76">
        <v>3.0</v>
      </c>
      <c r="D8" s="23" t="s">
        <v>509</v>
      </c>
      <c r="E8" s="24" t="s">
        <v>510</v>
      </c>
      <c r="F8" s="25" t="s">
        <v>68</v>
      </c>
      <c r="G8" s="26" t="s">
        <v>58</v>
      </c>
      <c r="H8" s="27"/>
      <c r="I8" s="28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9.75" customHeight="1">
      <c r="A9" s="20"/>
      <c r="B9" s="20"/>
      <c r="C9" s="77">
        <v>4.0</v>
      </c>
      <c r="D9" s="30" t="s">
        <v>511</v>
      </c>
      <c r="E9" s="31" t="s">
        <v>512</v>
      </c>
      <c r="F9" s="32" t="s">
        <v>68</v>
      </c>
      <c r="G9" s="33" t="s">
        <v>58</v>
      </c>
      <c r="H9" s="34"/>
      <c r="I9" s="35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9.75" customHeight="1">
      <c r="A10" s="20"/>
      <c r="B10" s="20"/>
      <c r="C10" s="76">
        <v>5.0</v>
      </c>
      <c r="D10" s="23" t="s">
        <v>513</v>
      </c>
      <c r="E10" s="24" t="s">
        <v>514</v>
      </c>
      <c r="F10" s="25" t="s">
        <v>68</v>
      </c>
      <c r="G10" s="26" t="s">
        <v>58</v>
      </c>
      <c r="H10" s="27"/>
      <c r="I10" s="2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1.75" customHeight="1">
      <c r="A12" s="20"/>
      <c r="B12" s="20"/>
      <c r="C12" s="5" t="s">
        <v>515</v>
      </c>
      <c r="D12" s="2"/>
      <c r="E12" s="2"/>
      <c r="F12" s="2"/>
      <c r="G12" s="2"/>
      <c r="H12" s="2"/>
      <c r="I12" s="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9.75" customHeight="1">
      <c r="A13" s="20"/>
      <c r="B13" s="20"/>
      <c r="C13" s="77">
        <v>6.0</v>
      </c>
      <c r="D13" s="30" t="s">
        <v>516</v>
      </c>
      <c r="E13" s="31" t="s">
        <v>517</v>
      </c>
      <c r="F13" s="32" t="s">
        <v>367</v>
      </c>
      <c r="G13" s="33" t="s">
        <v>58</v>
      </c>
      <c r="H13" s="34"/>
      <c r="I13" s="35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9.75" customHeight="1">
      <c r="A14" s="20"/>
      <c r="B14" s="20"/>
      <c r="C14" s="76">
        <v>7.0</v>
      </c>
      <c r="D14" s="23" t="s">
        <v>518</v>
      </c>
      <c r="E14" s="24" t="s">
        <v>519</v>
      </c>
      <c r="F14" s="25" t="s">
        <v>65</v>
      </c>
      <c r="G14" s="26" t="s">
        <v>58</v>
      </c>
      <c r="H14" s="27"/>
      <c r="I14" s="28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9.75" customHeight="1">
      <c r="A15" s="20"/>
      <c r="B15" s="20"/>
      <c r="C15" s="77">
        <v>8.0</v>
      </c>
      <c r="D15" s="30" t="s">
        <v>520</v>
      </c>
      <c r="E15" s="31" t="s">
        <v>521</v>
      </c>
      <c r="F15" s="32" t="s">
        <v>65</v>
      </c>
      <c r="G15" s="33" t="s">
        <v>58</v>
      </c>
      <c r="H15" s="34"/>
      <c r="I15" s="35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9.75" customHeight="1">
      <c r="A16" s="20"/>
      <c r="B16" s="20"/>
      <c r="C16" s="76">
        <v>9.0</v>
      </c>
      <c r="D16" s="23" t="s">
        <v>522</v>
      </c>
      <c r="E16" s="24" t="s">
        <v>523</v>
      </c>
      <c r="F16" s="25" t="s">
        <v>65</v>
      </c>
      <c r="G16" s="26" t="s">
        <v>58</v>
      </c>
      <c r="H16" s="27"/>
      <c r="I16" s="2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9.75" customHeight="1">
      <c r="A17" s="20"/>
      <c r="B17" s="20"/>
      <c r="C17" s="77">
        <v>10.0</v>
      </c>
      <c r="D17" s="30" t="s">
        <v>524</v>
      </c>
      <c r="E17" s="31" t="s">
        <v>525</v>
      </c>
      <c r="F17" s="32" t="s">
        <v>526</v>
      </c>
      <c r="G17" s="33" t="s">
        <v>58</v>
      </c>
      <c r="H17" s="34"/>
      <c r="I17" s="35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9.75" customHeight="1">
      <c r="A18" s="20"/>
      <c r="B18" s="20"/>
      <c r="C18" s="76">
        <v>11.0</v>
      </c>
      <c r="D18" s="23" t="s">
        <v>527</v>
      </c>
      <c r="E18" s="24" t="s">
        <v>528</v>
      </c>
      <c r="F18" s="25" t="s">
        <v>367</v>
      </c>
      <c r="G18" s="26" t="s">
        <v>58</v>
      </c>
      <c r="H18" s="27"/>
      <c r="I18" s="2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9.75" customHeight="1">
      <c r="A19" s="20"/>
      <c r="B19" s="20"/>
      <c r="C19" s="77">
        <v>12.0</v>
      </c>
      <c r="D19" s="30" t="s">
        <v>529</v>
      </c>
      <c r="E19" s="31" t="s">
        <v>530</v>
      </c>
      <c r="F19" s="32" t="s">
        <v>228</v>
      </c>
      <c r="G19" s="33" t="s">
        <v>58</v>
      </c>
      <c r="H19" s="34"/>
      <c r="I19" s="35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1.75" customHeight="1">
      <c r="A21" s="20"/>
      <c r="B21" s="20"/>
      <c r="C21" s="5" t="s">
        <v>531</v>
      </c>
      <c r="D21" s="2"/>
      <c r="E21" s="2"/>
      <c r="F21" s="2"/>
      <c r="G21" s="2"/>
      <c r="H21" s="2"/>
      <c r="I21" s="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9.75" customHeight="1">
      <c r="A22" s="20"/>
      <c r="B22" s="20"/>
      <c r="C22" s="76">
        <v>13.0</v>
      </c>
      <c r="D22" s="23" t="s">
        <v>532</v>
      </c>
      <c r="E22" s="24" t="s">
        <v>533</v>
      </c>
      <c r="F22" s="25" t="s">
        <v>534</v>
      </c>
      <c r="G22" s="26" t="s">
        <v>58</v>
      </c>
      <c r="H22" s="27"/>
      <c r="I22" s="2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9.75" customHeight="1">
      <c r="A23" s="20"/>
      <c r="B23" s="20"/>
      <c r="C23" s="77">
        <v>14.0</v>
      </c>
      <c r="D23" s="30" t="s">
        <v>535</v>
      </c>
      <c r="E23" s="31" t="s">
        <v>536</v>
      </c>
      <c r="F23" s="32" t="s">
        <v>228</v>
      </c>
      <c r="G23" s="33" t="s">
        <v>58</v>
      </c>
      <c r="H23" s="34"/>
      <c r="I23" s="35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9.75" customHeight="1">
      <c r="A24" s="20"/>
      <c r="B24" s="20"/>
      <c r="C24" s="76">
        <v>15.0</v>
      </c>
      <c r="D24" s="23" t="s">
        <v>537</v>
      </c>
      <c r="E24" s="24" t="s">
        <v>538</v>
      </c>
      <c r="F24" s="25" t="s">
        <v>65</v>
      </c>
      <c r="G24" s="26" t="s">
        <v>58</v>
      </c>
      <c r="H24" s="27"/>
      <c r="I24" s="2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9.75" customHeight="1">
      <c r="A25" s="20"/>
      <c r="B25" s="20"/>
      <c r="C25" s="77">
        <v>16.0</v>
      </c>
      <c r="D25" s="30" t="s">
        <v>539</v>
      </c>
      <c r="E25" s="31" t="s">
        <v>540</v>
      </c>
      <c r="F25" s="32" t="s">
        <v>65</v>
      </c>
      <c r="G25" s="33" t="s">
        <v>58</v>
      </c>
      <c r="H25" s="34"/>
      <c r="I25" s="35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9.75" customHeight="1">
      <c r="A26" s="20"/>
      <c r="B26" s="20"/>
      <c r="C26" s="76">
        <v>17.0</v>
      </c>
      <c r="D26" s="23" t="s">
        <v>541</v>
      </c>
      <c r="E26" s="24" t="s">
        <v>542</v>
      </c>
      <c r="F26" s="25" t="s">
        <v>65</v>
      </c>
      <c r="G26" s="26" t="s">
        <v>58</v>
      </c>
      <c r="H26" s="27"/>
      <c r="I26" s="2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39.75" customHeight="1">
      <c r="A27" s="20"/>
      <c r="B27" s="20"/>
      <c r="C27" s="77">
        <v>18.0</v>
      </c>
      <c r="D27" s="30" t="s">
        <v>543</v>
      </c>
      <c r="E27" s="31" t="s">
        <v>544</v>
      </c>
      <c r="F27" s="32" t="s">
        <v>187</v>
      </c>
      <c r="G27" s="33" t="s">
        <v>58</v>
      </c>
      <c r="H27" s="34"/>
      <c r="I27" s="3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1.75" customHeight="1">
      <c r="A29" s="20"/>
      <c r="B29" s="20"/>
      <c r="C29" s="5" t="s">
        <v>545</v>
      </c>
      <c r="D29" s="2"/>
      <c r="E29" s="2"/>
      <c r="F29" s="2"/>
      <c r="G29" s="2"/>
      <c r="H29" s="2"/>
      <c r="I29" s="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39.75" customHeight="1">
      <c r="A30" s="20"/>
      <c r="B30" s="20"/>
      <c r="C30" s="76">
        <v>19.0</v>
      </c>
      <c r="D30" s="23" t="s">
        <v>546</v>
      </c>
      <c r="E30" s="24" t="s">
        <v>547</v>
      </c>
      <c r="F30" s="25" t="s">
        <v>68</v>
      </c>
      <c r="G30" s="26" t="s">
        <v>58</v>
      </c>
      <c r="H30" s="27"/>
      <c r="I30" s="2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39.75" customHeight="1">
      <c r="A31" s="20"/>
      <c r="B31" s="20"/>
      <c r="C31" s="77">
        <v>20.0</v>
      </c>
      <c r="D31" s="30" t="s">
        <v>548</v>
      </c>
      <c r="E31" s="31" t="s">
        <v>549</v>
      </c>
      <c r="F31" s="32" t="s">
        <v>68</v>
      </c>
      <c r="G31" s="33" t="s">
        <v>58</v>
      </c>
      <c r="H31" s="34"/>
      <c r="I31" s="3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39.75" customHeight="1">
      <c r="A32" s="20"/>
      <c r="B32" s="20"/>
      <c r="C32" s="76">
        <v>21.0</v>
      </c>
      <c r="D32" s="23" t="s">
        <v>550</v>
      </c>
      <c r="E32" s="24" t="s">
        <v>551</v>
      </c>
      <c r="F32" s="25" t="s">
        <v>68</v>
      </c>
      <c r="G32" s="26" t="s">
        <v>58</v>
      </c>
      <c r="H32" s="27"/>
      <c r="I32" s="28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39.75" customHeight="1">
      <c r="A33" s="20"/>
      <c r="B33" s="20"/>
      <c r="C33" s="77">
        <v>22.0</v>
      </c>
      <c r="D33" s="30" t="s">
        <v>552</v>
      </c>
      <c r="E33" s="31" t="s">
        <v>553</v>
      </c>
      <c r="F33" s="32" t="s">
        <v>228</v>
      </c>
      <c r="G33" s="33" t="s">
        <v>58</v>
      </c>
      <c r="H33" s="34"/>
      <c r="I33" s="35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39.75" customHeight="1">
      <c r="A34" s="20"/>
      <c r="B34" s="20"/>
      <c r="C34" s="76">
        <v>23.0</v>
      </c>
      <c r="D34" s="23" t="s">
        <v>554</v>
      </c>
      <c r="E34" s="24" t="s">
        <v>555</v>
      </c>
      <c r="F34" s="25" t="s">
        <v>228</v>
      </c>
      <c r="G34" s="26" t="s">
        <v>58</v>
      </c>
      <c r="H34" s="27"/>
      <c r="I34" s="28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39.75" customHeight="1">
      <c r="A35" s="20"/>
      <c r="B35" s="20"/>
      <c r="C35" s="77">
        <v>24.0</v>
      </c>
      <c r="D35" s="30" t="s">
        <v>556</v>
      </c>
      <c r="E35" s="31" t="s">
        <v>557</v>
      </c>
      <c r="F35" s="32" t="s">
        <v>68</v>
      </c>
      <c r="G35" s="33" t="s">
        <v>58</v>
      </c>
      <c r="H35" s="34"/>
      <c r="I35" s="35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39.75" customHeight="1">
      <c r="A36" s="20"/>
      <c r="B36" s="20"/>
      <c r="C36" s="76">
        <v>25.0</v>
      </c>
      <c r="D36" s="23" t="s">
        <v>558</v>
      </c>
      <c r="E36" s="24" t="s">
        <v>559</v>
      </c>
      <c r="F36" s="25" t="s">
        <v>68</v>
      </c>
      <c r="G36" s="26" t="s">
        <v>58</v>
      </c>
      <c r="H36" s="27"/>
      <c r="I36" s="28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39.75" customHeight="1">
      <c r="A37" s="20"/>
      <c r="B37" s="20"/>
      <c r="C37" s="77">
        <v>26.0</v>
      </c>
      <c r="D37" s="30" t="s">
        <v>560</v>
      </c>
      <c r="E37" s="31" t="s">
        <v>561</v>
      </c>
      <c r="F37" s="32" t="s">
        <v>68</v>
      </c>
      <c r="G37" s="33" t="s">
        <v>58</v>
      </c>
      <c r="H37" s="34"/>
      <c r="I37" s="35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39.75" customHeight="1">
      <c r="A38" s="20"/>
      <c r="B38" s="20"/>
      <c r="C38" s="76">
        <v>27.0</v>
      </c>
      <c r="D38" s="23" t="s">
        <v>562</v>
      </c>
      <c r="E38" s="24" t="s">
        <v>563</v>
      </c>
      <c r="F38" s="25" t="s">
        <v>68</v>
      </c>
      <c r="G38" s="26" t="s">
        <v>58</v>
      </c>
      <c r="H38" s="27"/>
      <c r="I38" s="28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B2:I2"/>
    <mergeCell ref="B3:I3"/>
    <mergeCell ref="C5:I5"/>
    <mergeCell ref="C12:I12"/>
    <mergeCell ref="C21:I21"/>
    <mergeCell ref="C29:I29"/>
  </mergeCells>
  <dataValidations>
    <dataValidation type="list" allowBlank="1" sqref="G6:G10 G13:G19 G22:G27 G30:G38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20.0"/>
    <col customWidth="1" min="4" max="4" width="35.0"/>
    <col customWidth="1" min="5" max="5" width="25.0"/>
    <col customWidth="1" min="6" max="7" width="15.0"/>
    <col customWidth="1" min="8" max="8" width="25.0"/>
    <col customWidth="1" min="9" max="26" width="8.71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39.75" customHeight="1">
      <c r="A2" s="20"/>
      <c r="B2" s="78" t="s">
        <v>564</v>
      </c>
      <c r="C2" s="2"/>
      <c r="D2" s="2"/>
      <c r="E2" s="2"/>
      <c r="F2" s="2"/>
      <c r="G2" s="2"/>
      <c r="H2" s="3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1.75" customHeight="1">
      <c r="A4" s="20"/>
      <c r="B4" s="75" t="s">
        <v>565</v>
      </c>
      <c r="C4" s="75" t="s">
        <v>566</v>
      </c>
      <c r="D4" s="75" t="s">
        <v>567</v>
      </c>
      <c r="E4" s="75" t="s">
        <v>50</v>
      </c>
      <c r="F4" s="75" t="s">
        <v>568</v>
      </c>
      <c r="G4" s="75" t="s">
        <v>569</v>
      </c>
      <c r="H4" s="75" t="s">
        <v>570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75" customHeight="1">
      <c r="A5" s="20"/>
      <c r="B5" s="79" t="s">
        <v>571</v>
      </c>
      <c r="C5" s="32" t="s">
        <v>572</v>
      </c>
      <c r="D5" s="80" t="s">
        <v>573</v>
      </c>
      <c r="E5" s="32" t="s">
        <v>68</v>
      </c>
      <c r="F5" s="32"/>
      <c r="G5" s="32"/>
      <c r="H5" s="33" t="s">
        <v>58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1.75" customHeight="1">
      <c r="A6" s="20"/>
      <c r="B6" s="79" t="s">
        <v>574</v>
      </c>
      <c r="C6" s="32" t="s">
        <v>572</v>
      </c>
      <c r="D6" s="80" t="s">
        <v>575</v>
      </c>
      <c r="E6" s="32" t="s">
        <v>68</v>
      </c>
      <c r="F6" s="32"/>
      <c r="G6" s="32"/>
      <c r="H6" s="33" t="s">
        <v>58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1.75" customHeight="1">
      <c r="A7" s="20"/>
      <c r="B7" s="81" t="s">
        <v>576</v>
      </c>
      <c r="C7" s="82" t="s">
        <v>577</v>
      </c>
      <c r="D7" s="83" t="s">
        <v>578</v>
      </c>
      <c r="E7" s="82" t="s">
        <v>579</v>
      </c>
      <c r="F7" s="82"/>
      <c r="G7" s="82"/>
      <c r="H7" s="84" t="s">
        <v>58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1.75" customHeight="1">
      <c r="A8" s="20"/>
      <c r="B8" s="81" t="s">
        <v>580</v>
      </c>
      <c r="C8" s="82" t="s">
        <v>577</v>
      </c>
      <c r="D8" s="83" t="s">
        <v>581</v>
      </c>
      <c r="E8" s="82" t="s">
        <v>68</v>
      </c>
      <c r="F8" s="82"/>
      <c r="G8" s="82"/>
      <c r="H8" s="84" t="s">
        <v>58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1.75" customHeight="1">
      <c r="A9" s="20"/>
      <c r="B9" s="85" t="s">
        <v>582</v>
      </c>
      <c r="C9" s="86" t="s">
        <v>583</v>
      </c>
      <c r="D9" s="87" t="s">
        <v>584</v>
      </c>
      <c r="E9" s="86" t="s">
        <v>57</v>
      </c>
      <c r="F9" s="86"/>
      <c r="G9" s="86"/>
      <c r="H9" s="88" t="s">
        <v>58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1.75" customHeight="1">
      <c r="A10" s="20"/>
      <c r="B10" s="85" t="s">
        <v>585</v>
      </c>
      <c r="C10" s="86" t="s">
        <v>583</v>
      </c>
      <c r="D10" s="87" t="s">
        <v>586</v>
      </c>
      <c r="E10" s="86" t="s">
        <v>65</v>
      </c>
      <c r="F10" s="86"/>
      <c r="G10" s="86"/>
      <c r="H10" s="88" t="s">
        <v>58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1.75" customHeight="1">
      <c r="A11" s="20"/>
      <c r="B11" s="85" t="s">
        <v>587</v>
      </c>
      <c r="C11" s="86" t="s">
        <v>583</v>
      </c>
      <c r="D11" s="87" t="s">
        <v>588</v>
      </c>
      <c r="E11" s="86" t="s">
        <v>139</v>
      </c>
      <c r="F11" s="86"/>
      <c r="G11" s="86"/>
      <c r="H11" s="88" t="s">
        <v>58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1.75" customHeight="1">
      <c r="A12" s="20"/>
      <c r="B12" s="85" t="s">
        <v>589</v>
      </c>
      <c r="C12" s="86" t="s">
        <v>583</v>
      </c>
      <c r="D12" s="87" t="s">
        <v>590</v>
      </c>
      <c r="E12" s="86" t="s">
        <v>591</v>
      </c>
      <c r="F12" s="86"/>
      <c r="G12" s="86"/>
      <c r="H12" s="88" t="s">
        <v>58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1.75" customHeight="1">
      <c r="A13" s="20"/>
      <c r="B13" s="89" t="s">
        <v>592</v>
      </c>
      <c r="C13" s="90" t="s">
        <v>593</v>
      </c>
      <c r="D13" s="91" t="s">
        <v>594</v>
      </c>
      <c r="E13" s="90" t="s">
        <v>68</v>
      </c>
      <c r="F13" s="90"/>
      <c r="G13" s="90"/>
      <c r="H13" s="92" t="s">
        <v>58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1.75" customHeight="1">
      <c r="A14" s="20"/>
      <c r="B14" s="89" t="s">
        <v>595</v>
      </c>
      <c r="C14" s="90" t="s">
        <v>593</v>
      </c>
      <c r="D14" s="91" t="s">
        <v>596</v>
      </c>
      <c r="E14" s="90" t="s">
        <v>68</v>
      </c>
      <c r="F14" s="90"/>
      <c r="G14" s="90"/>
      <c r="H14" s="92" t="s">
        <v>58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1.75" customHeight="1">
      <c r="A15" s="20"/>
      <c r="B15" s="89" t="s">
        <v>597</v>
      </c>
      <c r="C15" s="90" t="s">
        <v>593</v>
      </c>
      <c r="D15" s="91" t="s">
        <v>598</v>
      </c>
      <c r="E15" s="90" t="s">
        <v>68</v>
      </c>
      <c r="F15" s="90"/>
      <c r="G15" s="90"/>
      <c r="H15" s="92" t="s">
        <v>58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1.75" customHeight="1">
      <c r="A16" s="20"/>
      <c r="B16" s="89" t="s">
        <v>599</v>
      </c>
      <c r="C16" s="90" t="s">
        <v>593</v>
      </c>
      <c r="D16" s="91" t="s">
        <v>600</v>
      </c>
      <c r="E16" s="90" t="s">
        <v>79</v>
      </c>
      <c r="F16" s="90"/>
      <c r="G16" s="90"/>
      <c r="H16" s="92" t="s">
        <v>58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1.75" customHeight="1">
      <c r="A17" s="20"/>
      <c r="B17" s="93" t="s">
        <v>601</v>
      </c>
      <c r="C17" s="94" t="s">
        <v>602</v>
      </c>
      <c r="D17" s="95" t="s">
        <v>603</v>
      </c>
      <c r="E17" s="94" t="s">
        <v>65</v>
      </c>
      <c r="F17" s="94"/>
      <c r="G17" s="94"/>
      <c r="H17" s="96" t="s">
        <v>58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1.75" customHeight="1">
      <c r="A18" s="20"/>
      <c r="B18" s="93" t="s">
        <v>604</v>
      </c>
      <c r="C18" s="94" t="s">
        <v>602</v>
      </c>
      <c r="D18" s="95" t="s">
        <v>605</v>
      </c>
      <c r="E18" s="94" t="s">
        <v>606</v>
      </c>
      <c r="F18" s="94"/>
      <c r="G18" s="94"/>
      <c r="H18" s="96" t="s">
        <v>58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1.75" customHeight="1">
      <c r="A19" s="20"/>
      <c r="B19" s="93" t="s">
        <v>607</v>
      </c>
      <c r="C19" s="94" t="s">
        <v>602</v>
      </c>
      <c r="D19" s="95" t="s">
        <v>608</v>
      </c>
      <c r="E19" s="94" t="s">
        <v>359</v>
      </c>
      <c r="F19" s="94"/>
      <c r="G19" s="94"/>
      <c r="H19" s="96" t="s">
        <v>58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1.75" customHeight="1">
      <c r="A20" s="20"/>
      <c r="B20" s="93" t="s">
        <v>609</v>
      </c>
      <c r="C20" s="94" t="s">
        <v>602</v>
      </c>
      <c r="D20" s="95" t="s">
        <v>610</v>
      </c>
      <c r="E20" s="94" t="s">
        <v>65</v>
      </c>
      <c r="F20" s="94"/>
      <c r="G20" s="94"/>
      <c r="H20" s="96" t="s">
        <v>58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1.75" customHeight="1">
      <c r="A21" s="20"/>
      <c r="B21" s="97" t="s">
        <v>611</v>
      </c>
      <c r="C21" s="98" t="s">
        <v>612</v>
      </c>
      <c r="D21" s="99" t="s">
        <v>613</v>
      </c>
      <c r="E21" s="98" t="s">
        <v>614</v>
      </c>
      <c r="F21" s="98"/>
      <c r="G21" s="98"/>
      <c r="H21" s="100" t="s">
        <v>58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1.75" customHeight="1">
      <c r="A22" s="20"/>
      <c r="B22" s="97" t="s">
        <v>615</v>
      </c>
      <c r="C22" s="98" t="s">
        <v>612</v>
      </c>
      <c r="D22" s="99" t="s">
        <v>616</v>
      </c>
      <c r="E22" s="98" t="s">
        <v>228</v>
      </c>
      <c r="F22" s="98"/>
      <c r="G22" s="98"/>
      <c r="H22" s="100" t="s">
        <v>58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1.75" customHeight="1">
      <c r="A23" s="20"/>
      <c r="B23" s="97" t="s">
        <v>617</v>
      </c>
      <c r="C23" s="98" t="s">
        <v>612</v>
      </c>
      <c r="D23" s="99" t="s">
        <v>618</v>
      </c>
      <c r="E23" s="98" t="s">
        <v>228</v>
      </c>
      <c r="F23" s="98"/>
      <c r="G23" s="98"/>
      <c r="H23" s="100" t="s">
        <v>58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1.75" customHeight="1">
      <c r="A24" s="20"/>
      <c r="B24" s="101" t="s">
        <v>619</v>
      </c>
      <c r="C24" s="102" t="s">
        <v>620</v>
      </c>
      <c r="D24" s="103" t="s">
        <v>621</v>
      </c>
      <c r="E24" s="102" t="s">
        <v>68</v>
      </c>
      <c r="F24" s="102"/>
      <c r="G24" s="102"/>
      <c r="H24" s="104" t="s">
        <v>58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1.75" customHeight="1">
      <c r="A25" s="20"/>
      <c r="B25" s="101" t="s">
        <v>622</v>
      </c>
      <c r="C25" s="102" t="s">
        <v>620</v>
      </c>
      <c r="D25" s="103" t="s">
        <v>623</v>
      </c>
      <c r="E25" s="102" t="s">
        <v>624</v>
      </c>
      <c r="F25" s="102"/>
      <c r="G25" s="102"/>
      <c r="H25" s="104" t="s">
        <v>58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1.75" customHeight="1">
      <c r="A26" s="20"/>
      <c r="B26" s="101" t="s">
        <v>625</v>
      </c>
      <c r="C26" s="102" t="s">
        <v>620</v>
      </c>
      <c r="D26" s="103" t="s">
        <v>626</v>
      </c>
      <c r="E26" s="102" t="s">
        <v>65</v>
      </c>
      <c r="F26" s="102"/>
      <c r="G26" s="102"/>
      <c r="H26" s="104" t="s">
        <v>58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1.75" customHeight="1">
      <c r="A27" s="20"/>
      <c r="B27" s="101" t="s">
        <v>627</v>
      </c>
      <c r="C27" s="102" t="s">
        <v>620</v>
      </c>
      <c r="D27" s="103" t="s">
        <v>628</v>
      </c>
      <c r="E27" s="102" t="s">
        <v>629</v>
      </c>
      <c r="F27" s="102"/>
      <c r="G27" s="102"/>
      <c r="H27" s="104" t="s">
        <v>58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1.75" customHeight="1">
      <c r="A28" s="20"/>
      <c r="B28" s="105" t="s">
        <v>630</v>
      </c>
      <c r="C28" s="106" t="s">
        <v>631</v>
      </c>
      <c r="D28" s="107" t="s">
        <v>632</v>
      </c>
      <c r="E28" s="106" t="s">
        <v>68</v>
      </c>
      <c r="F28" s="106"/>
      <c r="G28" s="106"/>
      <c r="H28" s="108" t="s">
        <v>58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1.75" customHeight="1">
      <c r="A29" s="20"/>
      <c r="B29" s="105" t="s">
        <v>633</v>
      </c>
      <c r="C29" s="106" t="s">
        <v>631</v>
      </c>
      <c r="D29" s="107" t="s">
        <v>634</v>
      </c>
      <c r="E29" s="106" t="s">
        <v>228</v>
      </c>
      <c r="F29" s="106"/>
      <c r="G29" s="106"/>
      <c r="H29" s="108" t="s">
        <v>58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1.75" customHeight="1">
      <c r="A30" s="20"/>
      <c r="B30" s="105" t="s">
        <v>635</v>
      </c>
      <c r="C30" s="106" t="s">
        <v>631</v>
      </c>
      <c r="D30" s="107" t="s">
        <v>636</v>
      </c>
      <c r="E30" s="106" t="s">
        <v>68</v>
      </c>
      <c r="F30" s="106"/>
      <c r="G30" s="106"/>
      <c r="H30" s="108" t="s">
        <v>58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1.75" customHeight="1">
      <c r="A31" s="20"/>
      <c r="B31" s="105" t="s">
        <v>637</v>
      </c>
      <c r="C31" s="106" t="s">
        <v>631</v>
      </c>
      <c r="D31" s="107" t="s">
        <v>638</v>
      </c>
      <c r="E31" s="106" t="s">
        <v>68</v>
      </c>
      <c r="F31" s="106"/>
      <c r="G31" s="106"/>
      <c r="H31" s="108" t="s">
        <v>58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B2:H2"/>
  </mergeCells>
  <dataValidations>
    <dataValidation type="list" allowBlank="1" sqref="H5:H31">
      <formula1>"✅ OK,⚠️ Atenção,❌ Pendente,➖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8.0"/>
    <col customWidth="1" min="4" max="4" width="20.0"/>
    <col customWidth="1" min="5" max="5" width="35.0"/>
    <col customWidth="1" min="6" max="7" width="15.0"/>
    <col customWidth="1" min="8" max="8" width="20.0"/>
    <col customWidth="1" min="9" max="9" width="25.0"/>
    <col customWidth="1" min="10" max="10" width="3.0"/>
    <col customWidth="1" min="11" max="26" width="8.71"/>
  </cols>
  <sheetData>
    <row r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37.5" customHeight="1">
      <c r="A2" s="109"/>
      <c r="B2" s="110" t="s">
        <v>639</v>
      </c>
      <c r="C2" s="2"/>
      <c r="D2" s="2"/>
      <c r="E2" s="2"/>
      <c r="F2" s="2"/>
      <c r="G2" s="2"/>
      <c r="H2" s="2"/>
      <c r="I2" s="3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21.75" customHeight="1">
      <c r="A4" s="109"/>
      <c r="B4" s="111" t="s">
        <v>47</v>
      </c>
      <c r="C4" s="111" t="s">
        <v>52</v>
      </c>
      <c r="D4" s="111" t="s">
        <v>640</v>
      </c>
      <c r="E4" s="111" t="s">
        <v>641</v>
      </c>
      <c r="F4" s="111" t="s">
        <v>642</v>
      </c>
      <c r="G4" s="111" t="s">
        <v>643</v>
      </c>
      <c r="H4" s="111" t="s">
        <v>644</v>
      </c>
      <c r="I4" s="111" t="s">
        <v>645</v>
      </c>
      <c r="J4" s="111" t="s">
        <v>646</v>
      </c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21.75" customHeight="1">
      <c r="A5" s="109"/>
      <c r="B5" s="112">
        <v>1.0</v>
      </c>
      <c r="C5" s="112"/>
      <c r="D5" s="112"/>
      <c r="E5" s="112"/>
      <c r="F5" s="112"/>
      <c r="G5" s="112"/>
      <c r="H5" s="112"/>
      <c r="I5" s="112"/>
      <c r="J5" s="112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21.75" customHeight="1">
      <c r="A6" s="109"/>
      <c r="B6" s="113">
        <v>2.0</v>
      </c>
      <c r="C6" s="113"/>
      <c r="D6" s="113"/>
      <c r="E6" s="113"/>
      <c r="F6" s="113"/>
      <c r="G6" s="113"/>
      <c r="H6" s="113"/>
      <c r="I6" s="113"/>
      <c r="J6" s="113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21.75" customHeight="1">
      <c r="A7" s="109"/>
      <c r="B7" s="112">
        <v>3.0</v>
      </c>
      <c r="C7" s="112"/>
      <c r="D7" s="112"/>
      <c r="E7" s="112"/>
      <c r="F7" s="112"/>
      <c r="G7" s="112"/>
      <c r="H7" s="112"/>
      <c r="I7" s="112"/>
      <c r="J7" s="112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21.75" customHeight="1">
      <c r="A8" s="109"/>
      <c r="B8" s="113">
        <v>4.0</v>
      </c>
      <c r="C8" s="113"/>
      <c r="D8" s="113"/>
      <c r="E8" s="113"/>
      <c r="F8" s="113"/>
      <c r="G8" s="113"/>
      <c r="H8" s="113"/>
      <c r="I8" s="113"/>
      <c r="J8" s="113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21.75" customHeight="1">
      <c r="A9" s="109"/>
      <c r="B9" s="112">
        <v>5.0</v>
      </c>
      <c r="C9" s="112"/>
      <c r="D9" s="112"/>
      <c r="E9" s="112"/>
      <c r="F9" s="112"/>
      <c r="G9" s="112"/>
      <c r="H9" s="112"/>
      <c r="I9" s="112"/>
      <c r="J9" s="112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21.75" customHeight="1">
      <c r="A10" s="109"/>
      <c r="B10" s="113">
        <v>6.0</v>
      </c>
      <c r="C10" s="113"/>
      <c r="D10" s="113"/>
      <c r="E10" s="113"/>
      <c r="F10" s="113"/>
      <c r="G10" s="113"/>
      <c r="H10" s="113"/>
      <c r="I10" s="113"/>
      <c r="J10" s="113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21.75" customHeight="1">
      <c r="A11" s="109"/>
      <c r="B11" s="112">
        <v>7.0</v>
      </c>
      <c r="C11" s="112"/>
      <c r="D11" s="112"/>
      <c r="E11" s="112"/>
      <c r="F11" s="112"/>
      <c r="G11" s="112"/>
      <c r="H11" s="112"/>
      <c r="I11" s="112"/>
      <c r="J11" s="112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21.75" customHeight="1">
      <c r="A12" s="109"/>
      <c r="B12" s="113">
        <v>8.0</v>
      </c>
      <c r="C12" s="113"/>
      <c r="D12" s="113"/>
      <c r="E12" s="113"/>
      <c r="F12" s="113"/>
      <c r="G12" s="113"/>
      <c r="H12" s="113"/>
      <c r="I12" s="113"/>
      <c r="J12" s="113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21.75" customHeight="1">
      <c r="A13" s="109"/>
      <c r="B13" s="112">
        <v>9.0</v>
      </c>
      <c r="C13" s="112"/>
      <c r="D13" s="112"/>
      <c r="E13" s="112"/>
      <c r="F13" s="112"/>
      <c r="G13" s="112"/>
      <c r="H13" s="112"/>
      <c r="I13" s="112"/>
      <c r="J13" s="112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21.75" customHeight="1">
      <c r="A14" s="109"/>
      <c r="B14" s="113">
        <v>10.0</v>
      </c>
      <c r="C14" s="113"/>
      <c r="D14" s="113"/>
      <c r="E14" s="113"/>
      <c r="F14" s="113"/>
      <c r="G14" s="113"/>
      <c r="H14" s="113"/>
      <c r="I14" s="113"/>
      <c r="J14" s="113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21.75" customHeight="1">
      <c r="A15" s="109"/>
      <c r="B15" s="112">
        <v>11.0</v>
      </c>
      <c r="C15" s="112"/>
      <c r="D15" s="112"/>
      <c r="E15" s="112"/>
      <c r="F15" s="112"/>
      <c r="G15" s="112"/>
      <c r="H15" s="112"/>
      <c r="I15" s="112"/>
      <c r="J15" s="112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21.75" customHeight="1">
      <c r="A16" s="109"/>
      <c r="B16" s="113">
        <v>12.0</v>
      </c>
      <c r="C16" s="113"/>
      <c r="D16" s="113"/>
      <c r="E16" s="113"/>
      <c r="F16" s="113"/>
      <c r="G16" s="113"/>
      <c r="H16" s="113"/>
      <c r="I16" s="113"/>
      <c r="J16" s="113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21.75" customHeight="1">
      <c r="A17" s="109"/>
      <c r="B17" s="112">
        <v>13.0</v>
      </c>
      <c r="C17" s="112"/>
      <c r="D17" s="112"/>
      <c r="E17" s="112"/>
      <c r="F17" s="112"/>
      <c r="G17" s="112"/>
      <c r="H17" s="112"/>
      <c r="I17" s="112"/>
      <c r="J17" s="112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21.75" customHeight="1">
      <c r="A18" s="109"/>
      <c r="B18" s="113">
        <v>14.0</v>
      </c>
      <c r="C18" s="113"/>
      <c r="D18" s="113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21.75" customHeight="1">
      <c r="A19" s="109"/>
      <c r="B19" s="112">
        <v>15.0</v>
      </c>
      <c r="C19" s="112"/>
      <c r="D19" s="112"/>
      <c r="E19" s="112"/>
      <c r="F19" s="112"/>
      <c r="G19" s="112"/>
      <c r="H19" s="112"/>
      <c r="I19" s="112"/>
      <c r="J19" s="112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21.75" customHeight="1">
      <c r="A20" s="109"/>
      <c r="B20" s="113">
        <v>16.0</v>
      </c>
      <c r="C20" s="113"/>
      <c r="D20" s="113"/>
      <c r="E20" s="113"/>
      <c r="F20" s="113"/>
      <c r="G20" s="113"/>
      <c r="H20" s="113"/>
      <c r="I20" s="113"/>
      <c r="J20" s="113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21.75" customHeight="1">
      <c r="A21" s="109"/>
      <c r="B21" s="112">
        <v>17.0</v>
      </c>
      <c r="C21" s="112"/>
      <c r="D21" s="112"/>
      <c r="E21" s="112"/>
      <c r="F21" s="112"/>
      <c r="G21" s="112"/>
      <c r="H21" s="112"/>
      <c r="I21" s="112"/>
      <c r="J21" s="112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21.75" customHeight="1">
      <c r="A22" s="109"/>
      <c r="B22" s="113">
        <v>18.0</v>
      </c>
      <c r="C22" s="113"/>
      <c r="D22" s="113"/>
      <c r="E22" s="113"/>
      <c r="F22" s="113"/>
      <c r="G22" s="113"/>
      <c r="H22" s="113"/>
      <c r="I22" s="113"/>
      <c r="J22" s="113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21.75" customHeight="1">
      <c r="A23" s="109"/>
      <c r="B23" s="112">
        <v>19.0</v>
      </c>
      <c r="C23" s="112"/>
      <c r="D23" s="112"/>
      <c r="E23" s="112"/>
      <c r="F23" s="112"/>
      <c r="G23" s="112"/>
      <c r="H23" s="112"/>
      <c r="I23" s="112"/>
      <c r="J23" s="112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21.75" customHeight="1">
      <c r="A24" s="109"/>
      <c r="B24" s="113">
        <v>20.0</v>
      </c>
      <c r="C24" s="113"/>
      <c r="D24" s="113"/>
      <c r="E24" s="113"/>
      <c r="F24" s="113"/>
      <c r="G24" s="113"/>
      <c r="H24" s="113"/>
      <c r="I24" s="113"/>
      <c r="J24" s="113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21.75" customHeight="1">
      <c r="A25" s="109"/>
      <c r="B25" s="112">
        <v>21.0</v>
      </c>
      <c r="C25" s="112"/>
      <c r="D25" s="112"/>
      <c r="E25" s="112"/>
      <c r="F25" s="112"/>
      <c r="G25" s="112"/>
      <c r="H25" s="112"/>
      <c r="I25" s="112"/>
      <c r="J25" s="112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21.75" customHeight="1">
      <c r="A26" s="109"/>
      <c r="B26" s="113">
        <v>22.0</v>
      </c>
      <c r="C26" s="113"/>
      <c r="D26" s="113"/>
      <c r="E26" s="113"/>
      <c r="F26" s="113"/>
      <c r="G26" s="113"/>
      <c r="H26" s="113"/>
      <c r="I26" s="113"/>
      <c r="J26" s="113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21.75" customHeight="1">
      <c r="A27" s="109"/>
      <c r="B27" s="112">
        <v>23.0</v>
      </c>
      <c r="C27" s="112"/>
      <c r="D27" s="112"/>
      <c r="E27" s="112"/>
      <c r="F27" s="112"/>
      <c r="G27" s="112"/>
      <c r="H27" s="112"/>
      <c r="I27" s="112"/>
      <c r="J27" s="112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21.75" customHeight="1">
      <c r="A28" s="109"/>
      <c r="B28" s="113">
        <v>24.0</v>
      </c>
      <c r="C28" s="113"/>
      <c r="D28" s="113"/>
      <c r="E28" s="113"/>
      <c r="F28" s="113"/>
      <c r="G28" s="113"/>
      <c r="H28" s="113"/>
      <c r="I28" s="113"/>
      <c r="J28" s="113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21.75" customHeight="1">
      <c r="A29" s="109"/>
      <c r="B29" s="112">
        <v>25.0</v>
      </c>
      <c r="C29" s="112"/>
      <c r="D29" s="112"/>
      <c r="E29" s="112"/>
      <c r="F29" s="112"/>
      <c r="G29" s="112"/>
      <c r="H29" s="112"/>
      <c r="I29" s="112"/>
      <c r="J29" s="112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21.75" customHeight="1">
      <c r="A30" s="109"/>
      <c r="B30" s="113">
        <v>26.0</v>
      </c>
      <c r="C30" s="113"/>
      <c r="D30" s="113"/>
      <c r="E30" s="113"/>
      <c r="F30" s="113"/>
      <c r="G30" s="113"/>
      <c r="H30" s="113"/>
      <c r="I30" s="113"/>
      <c r="J30" s="113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21.75" customHeight="1">
      <c r="A31" s="109"/>
      <c r="B31" s="112">
        <v>27.0</v>
      </c>
      <c r="C31" s="112"/>
      <c r="D31" s="112"/>
      <c r="E31" s="112"/>
      <c r="F31" s="112"/>
      <c r="G31" s="112"/>
      <c r="H31" s="112"/>
      <c r="I31" s="112"/>
      <c r="J31" s="112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21.75" customHeight="1">
      <c r="A32" s="109"/>
      <c r="B32" s="113">
        <v>28.0</v>
      </c>
      <c r="C32" s="113"/>
      <c r="D32" s="113"/>
      <c r="E32" s="113"/>
      <c r="F32" s="113"/>
      <c r="G32" s="113"/>
      <c r="H32" s="113"/>
      <c r="I32" s="113"/>
      <c r="J32" s="113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21.75" customHeight="1">
      <c r="A33" s="109"/>
      <c r="B33" s="112">
        <v>29.0</v>
      </c>
      <c r="C33" s="112"/>
      <c r="D33" s="112"/>
      <c r="E33" s="112"/>
      <c r="F33" s="112"/>
      <c r="G33" s="112"/>
      <c r="H33" s="112"/>
      <c r="I33" s="112"/>
      <c r="J33" s="112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21.75" customHeight="1">
      <c r="A34" s="109"/>
      <c r="B34" s="113">
        <v>30.0</v>
      </c>
      <c r="C34" s="113"/>
      <c r="D34" s="113"/>
      <c r="E34" s="113"/>
      <c r="F34" s="113"/>
      <c r="G34" s="113"/>
      <c r="H34" s="113"/>
      <c r="I34" s="113"/>
      <c r="J34" s="113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1">
    <mergeCell ref="B2:I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6.0"/>
    <col customWidth="1" min="4" max="4" width="40.0"/>
    <col customWidth="1" min="5" max="5" width="20.0"/>
    <col customWidth="1" min="6" max="6" width="15.0"/>
    <col customWidth="1" min="7" max="7" width="20.0"/>
    <col customWidth="1" min="8" max="8" width="30.0"/>
    <col customWidth="1" min="9" max="26" width="8.71"/>
  </cols>
  <sheetData>
    <row r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37.5" customHeight="1">
      <c r="A2" s="109"/>
      <c r="B2" s="114" t="s">
        <v>647</v>
      </c>
      <c r="C2" s="2"/>
      <c r="D2" s="2"/>
      <c r="E2" s="2"/>
      <c r="F2" s="2"/>
      <c r="G2" s="2"/>
      <c r="H2" s="3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21.75" customHeight="1">
      <c r="A4" s="109"/>
      <c r="B4" s="115" t="s">
        <v>47</v>
      </c>
      <c r="C4" s="115" t="s">
        <v>648</v>
      </c>
      <c r="D4" s="115" t="s">
        <v>649</v>
      </c>
      <c r="E4" s="115" t="s">
        <v>650</v>
      </c>
      <c r="F4" s="115" t="s">
        <v>651</v>
      </c>
      <c r="G4" s="115" t="s">
        <v>652</v>
      </c>
      <c r="H4" s="115" t="s">
        <v>51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36.0" customHeight="1">
      <c r="A5" s="109"/>
      <c r="B5" s="116">
        <v>1.0</v>
      </c>
      <c r="C5" s="112" t="s">
        <v>653</v>
      </c>
      <c r="D5" s="112" t="s">
        <v>654</v>
      </c>
      <c r="E5" s="112" t="s">
        <v>655</v>
      </c>
      <c r="F5" s="117" t="s">
        <v>656</v>
      </c>
      <c r="G5" s="112" t="s">
        <v>657</v>
      </c>
      <c r="H5" s="112" t="s">
        <v>58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36.0" customHeight="1">
      <c r="A6" s="109"/>
      <c r="B6" s="118">
        <v>2.0</v>
      </c>
      <c r="C6" s="113" t="s">
        <v>658</v>
      </c>
      <c r="D6" s="113" t="s">
        <v>659</v>
      </c>
      <c r="E6" s="113" t="s">
        <v>660</v>
      </c>
      <c r="F6" s="119" t="s">
        <v>661</v>
      </c>
      <c r="G6" s="113" t="s">
        <v>662</v>
      </c>
      <c r="H6" s="113" t="s">
        <v>58</v>
      </c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36.0" customHeight="1">
      <c r="A7" s="109"/>
      <c r="B7" s="116">
        <v>3.0</v>
      </c>
      <c r="C7" s="112" t="s">
        <v>663</v>
      </c>
      <c r="D7" s="112" t="s">
        <v>664</v>
      </c>
      <c r="E7" s="112" t="s">
        <v>655</v>
      </c>
      <c r="F7" s="117" t="s">
        <v>656</v>
      </c>
      <c r="G7" s="112" t="s">
        <v>665</v>
      </c>
      <c r="H7" s="112" t="s">
        <v>58</v>
      </c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36.0" customHeight="1">
      <c r="A8" s="109"/>
      <c r="B8" s="118">
        <v>4.0</v>
      </c>
      <c r="C8" s="113" t="s">
        <v>666</v>
      </c>
      <c r="D8" s="113" t="s">
        <v>667</v>
      </c>
      <c r="E8" s="113" t="s">
        <v>668</v>
      </c>
      <c r="F8" s="119" t="s">
        <v>661</v>
      </c>
      <c r="G8" s="113" t="s">
        <v>669</v>
      </c>
      <c r="H8" s="113" t="s">
        <v>58</v>
      </c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36.0" customHeight="1">
      <c r="A9" s="109"/>
      <c r="B9" s="116">
        <v>5.0</v>
      </c>
      <c r="C9" s="112" t="s">
        <v>670</v>
      </c>
      <c r="D9" s="112" t="s">
        <v>671</v>
      </c>
      <c r="E9" s="112" t="s">
        <v>655</v>
      </c>
      <c r="F9" s="117" t="s">
        <v>672</v>
      </c>
      <c r="G9" s="112" t="s">
        <v>673</v>
      </c>
      <c r="H9" s="112" t="s">
        <v>58</v>
      </c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36.0" customHeight="1">
      <c r="A10" s="109"/>
      <c r="B10" s="118">
        <v>6.0</v>
      </c>
      <c r="C10" s="113" t="s">
        <v>674</v>
      </c>
      <c r="D10" s="113" t="s">
        <v>675</v>
      </c>
      <c r="E10" s="113" t="s">
        <v>676</v>
      </c>
      <c r="F10" s="119" t="s">
        <v>661</v>
      </c>
      <c r="G10" s="113" t="s">
        <v>677</v>
      </c>
      <c r="H10" s="113" t="s">
        <v>58</v>
      </c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36.0" customHeight="1">
      <c r="A11" s="109"/>
      <c r="B11" s="116">
        <v>7.0</v>
      </c>
      <c r="C11" s="112" t="s">
        <v>678</v>
      </c>
      <c r="D11" s="112" t="s">
        <v>679</v>
      </c>
      <c r="E11" s="112" t="s">
        <v>680</v>
      </c>
      <c r="F11" s="117" t="s">
        <v>661</v>
      </c>
      <c r="G11" s="112" t="s">
        <v>681</v>
      </c>
      <c r="H11" s="112" t="s">
        <v>58</v>
      </c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36.0" customHeight="1">
      <c r="A12" s="109"/>
      <c r="B12" s="118">
        <v>8.0</v>
      </c>
      <c r="C12" s="113" t="s">
        <v>682</v>
      </c>
      <c r="D12" s="113" t="s">
        <v>683</v>
      </c>
      <c r="E12" s="113" t="s">
        <v>684</v>
      </c>
      <c r="F12" s="119" t="s">
        <v>656</v>
      </c>
      <c r="G12" s="113" t="s">
        <v>685</v>
      </c>
      <c r="H12" s="113" t="s">
        <v>58</v>
      </c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30.0" customHeight="1">
      <c r="A13" s="109"/>
      <c r="B13" s="116">
        <v>9.0</v>
      </c>
      <c r="C13" s="120"/>
      <c r="D13" s="120"/>
      <c r="E13" s="120"/>
      <c r="F13" s="120"/>
      <c r="G13" s="120"/>
      <c r="H13" s="120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30.0" customHeight="1">
      <c r="A14" s="109"/>
      <c r="B14" s="118">
        <v>10.0</v>
      </c>
      <c r="C14" s="121"/>
      <c r="D14" s="121"/>
      <c r="E14" s="121"/>
      <c r="F14" s="121"/>
      <c r="G14" s="121"/>
      <c r="H14" s="121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30.0" customHeight="1">
      <c r="A15" s="109"/>
      <c r="B15" s="116">
        <v>11.0</v>
      </c>
      <c r="C15" s="120"/>
      <c r="D15" s="120"/>
      <c r="E15" s="120"/>
      <c r="F15" s="120"/>
      <c r="G15" s="120"/>
      <c r="H15" s="120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30.0" customHeight="1">
      <c r="A16" s="109"/>
      <c r="B16" s="118">
        <v>12.0</v>
      </c>
      <c r="C16" s="121"/>
      <c r="D16" s="121"/>
      <c r="E16" s="121"/>
      <c r="F16" s="121"/>
      <c r="G16" s="121"/>
      <c r="H16" s="121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30.0" customHeight="1">
      <c r="A17" s="109"/>
      <c r="B17" s="116">
        <v>13.0</v>
      </c>
      <c r="C17" s="120"/>
      <c r="D17" s="120"/>
      <c r="E17" s="120"/>
      <c r="F17" s="120"/>
      <c r="G17" s="120"/>
      <c r="H17" s="120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30.0" customHeight="1">
      <c r="A18" s="109"/>
      <c r="B18" s="118">
        <v>14.0</v>
      </c>
      <c r="C18" s="121"/>
      <c r="D18" s="121"/>
      <c r="E18" s="121"/>
      <c r="F18" s="121"/>
      <c r="G18" s="121"/>
      <c r="H18" s="121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30.0" customHeight="1">
      <c r="A19" s="109"/>
      <c r="B19" s="116">
        <v>15.0</v>
      </c>
      <c r="C19" s="120"/>
      <c r="D19" s="120"/>
      <c r="E19" s="120"/>
      <c r="F19" s="120"/>
      <c r="G19" s="120"/>
      <c r="H19" s="120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30.0" customHeight="1">
      <c r="A20" s="109"/>
      <c r="B20" s="118">
        <v>16.0</v>
      </c>
      <c r="C20" s="121"/>
      <c r="D20" s="121"/>
      <c r="E20" s="121"/>
      <c r="F20" s="121"/>
      <c r="G20" s="121"/>
      <c r="H20" s="121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30.0" customHeight="1">
      <c r="A21" s="109"/>
      <c r="B21" s="116">
        <v>17.0</v>
      </c>
      <c r="C21" s="120"/>
      <c r="D21" s="120"/>
      <c r="E21" s="120"/>
      <c r="F21" s="120"/>
      <c r="G21" s="120"/>
      <c r="H21" s="120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30.0" customHeight="1">
      <c r="A22" s="109"/>
      <c r="B22" s="118">
        <v>18.0</v>
      </c>
      <c r="C22" s="121"/>
      <c r="D22" s="121"/>
      <c r="E22" s="121"/>
      <c r="F22" s="121"/>
      <c r="G22" s="121"/>
      <c r="H22" s="121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30.0" customHeight="1">
      <c r="A23" s="109"/>
      <c r="B23" s="116">
        <v>19.0</v>
      </c>
      <c r="C23" s="120"/>
      <c r="D23" s="120"/>
      <c r="E23" s="120"/>
      <c r="F23" s="120"/>
      <c r="G23" s="120"/>
      <c r="H23" s="120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30.0" customHeight="1">
      <c r="A24" s="109"/>
      <c r="B24" s="118">
        <v>20.0</v>
      </c>
      <c r="C24" s="121"/>
      <c r="D24" s="121"/>
      <c r="E24" s="121"/>
      <c r="F24" s="121"/>
      <c r="G24" s="121"/>
      <c r="H24" s="121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1">
    <mergeCell ref="B2:H2"/>
  </mergeCells>
  <dataValidations>
    <dataValidation type="list" allowBlank="1" sqref="F5:F12">
      <formula1>"🟢 Baixo,🟡 Médio,🔴 Alto,⚫ Crítico"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2026-03-08T22:06:05Z</dcterms:created>
  <dc:creator>openpyxl</dc:creator>
</cp:coreProperties>
</file>